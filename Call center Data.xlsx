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itya\Desktop\Projects\"/>
    </mc:Choice>
  </mc:AlternateContent>
  <xr:revisionPtr revIDLastSave="0" documentId="13_ncr:1_{F6D7A14D-7DF2-45C8-A94E-CEB7DD32311A}" xr6:coauthVersionLast="47" xr6:coauthVersionMax="47" xr10:uidLastSave="{00000000-0000-0000-0000-000000000000}"/>
  <bookViews>
    <workbookView xWindow="-120" yWindow="-120" windowWidth="29040" windowHeight="15840" xr2:uid="{26D4546B-D2A1-4444-8EAF-A6228F96F0C1}"/>
  </bookViews>
  <sheets>
    <sheet name="Pivot" sheetId="6" r:id="rId1"/>
    <sheet name="Data" sheetId="2" r:id="rId2"/>
    <sheet name="Sheet1" sheetId="5" r:id="rId3"/>
    <sheet name="Assets" sheetId="4"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81029"/>
  <pivotCaches>
    <pivotCache cacheId="63" r:id="rId5"/>
    <pivotCache cacheId="65" r:id="rId6"/>
    <pivotCache cacheId="83" r:id="rId7"/>
    <pivotCache cacheId="292" r:id="rId8"/>
    <pivotCache cacheId="311" r:id="rId9"/>
    <pivotCache cacheId="314" r:id="rId10"/>
    <pivotCache cacheId="317" r:id="rId11"/>
    <pivotCache cacheId="320" r:id="rId12"/>
    <pivotCache cacheId="323"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7" i="5" l="1"/>
  <c r="J27" i="5"/>
  <c r="K27" i="5"/>
  <c r="L27" i="5"/>
  <c r="M27" i="5"/>
  <c r="H28" i="5"/>
  <c r="H29" i="5"/>
  <c r="I29" i="5"/>
  <c r="J29" i="5"/>
  <c r="K29" i="5"/>
  <c r="L29" i="5"/>
  <c r="M29" i="5"/>
  <c r="N29" i="5"/>
  <c r="H30" i="5"/>
  <c r="I30" i="5"/>
  <c r="J30" i="5"/>
  <c r="K30" i="5"/>
  <c r="L30" i="5"/>
  <c r="M30" i="5"/>
  <c r="N30" i="5"/>
  <c r="H31" i="5"/>
  <c r="I31" i="5"/>
  <c r="J31" i="5"/>
  <c r="K31" i="5"/>
  <c r="L31" i="5"/>
  <c r="M31" i="5"/>
  <c r="N31" i="5"/>
  <c r="H32" i="5"/>
  <c r="I32" i="5"/>
  <c r="J32" i="5"/>
  <c r="K32" i="5"/>
  <c r="L32" i="5"/>
  <c r="M32" i="5"/>
  <c r="N32" i="5"/>
  <c r="H33" i="5"/>
  <c r="H34" i="5"/>
  <c r="I34" i="5"/>
  <c r="J34" i="5"/>
  <c r="K34" i="5"/>
  <c r="L34" i="5"/>
  <c r="M34" i="5"/>
  <c r="N34" i="5"/>
  <c r="H35" i="5"/>
  <c r="I35" i="5"/>
  <c r="J35" i="5"/>
  <c r="K35" i="5"/>
  <c r="L35" i="5"/>
  <c r="M35" i="5"/>
  <c r="N35" i="5"/>
  <c r="H36" i="5"/>
  <c r="I36" i="5"/>
  <c r="J36" i="5"/>
  <c r="K36" i="5"/>
  <c r="L36" i="5"/>
  <c r="M36" i="5"/>
  <c r="N36" i="5"/>
  <c r="H37" i="5"/>
  <c r="I37" i="5"/>
  <c r="J37" i="5"/>
  <c r="K37" i="5"/>
  <c r="L37" i="5"/>
  <c r="M37" i="5"/>
  <c r="N37" i="5"/>
  <c r="H38" i="5"/>
  <c r="I38" i="5"/>
  <c r="J38" i="5"/>
  <c r="K38" i="5"/>
  <c r="L38" i="5"/>
  <c r="M38" i="5"/>
  <c r="N38" i="5"/>
  <c r="H39" i="5"/>
  <c r="I39" i="5"/>
  <c r="J39" i="5"/>
  <c r="K39" i="5"/>
  <c r="L39" i="5"/>
  <c r="M39" i="5"/>
  <c r="N39" i="5"/>
  <c r="H40" i="5"/>
  <c r="H41" i="5"/>
  <c r="I41" i="5"/>
  <c r="J41" i="5"/>
  <c r="K41" i="5"/>
  <c r="L41" i="5"/>
  <c r="M41" i="5"/>
  <c r="N41" i="5"/>
  <c r="H42" i="5"/>
  <c r="I42" i="5"/>
  <c r="J42" i="5"/>
  <c r="K42" i="5"/>
  <c r="L42" i="5"/>
  <c r="M42" i="5"/>
  <c r="N42" i="5"/>
  <c r="H43" i="5"/>
  <c r="I43" i="5"/>
  <c r="J43" i="5"/>
  <c r="K43" i="5"/>
  <c r="L43" i="5"/>
  <c r="M43" i="5"/>
  <c r="N43" i="5"/>
  <c r="H44" i="5"/>
  <c r="I44" i="5"/>
  <c r="J44" i="5"/>
  <c r="K44" i="5"/>
  <c r="L44" i="5"/>
  <c r="M44" i="5"/>
  <c r="N44" i="5"/>
  <c r="H45" i="5"/>
  <c r="I45" i="5"/>
  <c r="J45" i="5"/>
  <c r="K45" i="5"/>
  <c r="L45" i="5"/>
  <c r="M45" i="5"/>
  <c r="N45" i="5"/>
  <c r="E59" i="6" l="1"/>
  <c r="M59" i="6"/>
  <c r="I59" i="6" s="1"/>
  <c r="F59" i="6"/>
  <c r="G59" i="6"/>
  <c r="F61" i="6"/>
  <c r="G61" i="6"/>
  <c r="F62" i="6"/>
  <c r="G62" i="6"/>
  <c r="F63" i="6"/>
  <c r="G63" i="6"/>
  <c r="E61" i="6"/>
  <c r="E62" i="6"/>
  <c r="E63"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61" i="6" l="1"/>
  <c r="H62" i="6"/>
  <c r="I62" i="6"/>
  <c r="H60" i="6"/>
  <c r="H59" i="6"/>
  <c r="I63" i="6"/>
  <c r="I60" i="6"/>
  <c r="H61" i="6"/>
  <c r="H6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83F849-742E-4E0A-9636-054EBB30B51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83E5F5-BC94-4E90-B04F-4B9D177E52A2}" name="WorksheetConnection_sample-data-excel-portfolio-project.xlsx!calls" type="102" refreshedVersion="7"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B87FF621-CA29-411C-ADFB-2F8E32080102}"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<sst xmlns="http://schemas.openxmlformats.org/spreadsheetml/2006/main" count="3157" uniqueCount="1075">
  <si>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</si>
  <si>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</si>
  <si>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</si>
  <si>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</si>
  <si>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</si>
  <si>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</si>
  <si>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</si>
  <si>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</si>
  <si>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</si>
  <si>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</si>
  <si>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</si>
  <si>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</si>
  <si>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</si>
  <si>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</si>
  <si>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</si>
  <si>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</si>
  <si>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</si>
  <si>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</si>
  <si>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</si>
  <si>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</si>
  <si>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</si>
  <si>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</si>
  <si>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</si>
  <si>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</si>
  <si>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</si>
  <si>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</si>
  <si>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</si>
  <si>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</si>
  <si>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</si>
  <si>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</si>
  <si>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</si>
  <si>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</si>
  <si>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</si>
  <si>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</si>
  <si>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</si>
  <si>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</si>
  <si>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</si>
  <si>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</si>
  <si>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</si>
  <si>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</si>
  <si>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</si>
  <si>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</si>
  <si>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</si>
  <si>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</si>
  <si>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</si>
  <si>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</si>
  <si>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</si>
  <si>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</si>
  <si>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</si>
  <si>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</si>
  <si>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</si>
  <si>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</si>
  <si>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</si>
  <si>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</si>
  <si>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</si>
  <si>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</si>
  <si>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</si>
  <si>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</si>
  <si>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</si>
  <si>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</si>
  <si>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</si>
  <si>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</si>
  <si>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</si>
  <si>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</si>
  <si>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</si>
  <si>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</si>
  <si>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</si>
  <si>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</si>
  <si>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</si>
  <si>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</si>
  <si>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</si>
  <si>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</si>
  <si>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</si>
  <si>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</si>
  <si>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</si>
  <si>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</si>
  <si>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</si>
  <si>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</si>
  <si>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</si>
  <si>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</si>
  <si>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</si>
  <si>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</si>
  <si>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</si>
  <si>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</si>
  <si>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</si>
  <si>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</si>
  <si>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</si>
  <si>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</si>
  <si>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</si>
  <si>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</si>
  <si>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</si>
  <si>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</si>
  <si>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</si>
  <si>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</si>
  <si>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</si>
  <si>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</si>
  <si>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</si>
  <si>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</si>
  <si>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</si>
  <si>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</si>
  <si>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</si>
  <si>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</si>
  <si>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</si>
  <si>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</si>
  <si>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</si>
  <si>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</si>
  <si>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</si>
  <si>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</si>
  <si>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</si>
  <si>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</si>
  <si>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</si>
  <si>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</si>
  <si>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</si>
  <si>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</si>
  <si>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</si>
  <si>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</si>
  <si>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</si>
  <si>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</si>
  <si>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</si>
  <si>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</si>
  <si>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</si>
  <si>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</si>
  <si>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</si>
  <si>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</si>
  <si>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</si>
  <si>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</si>
  <si>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</si>
  <si>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</si>
  <si>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</si>
  <si>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</si>
  <si>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</si>
  <si>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</si>
  <si>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</si>
  <si>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</si>
  <si>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</si>
  <si>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</si>
  <si>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</si>
  <si>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</si>
  <si>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</si>
  <si>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</si>
  <si>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</si>
  <si>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</si>
  <si>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</si>
  <si>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</si>
  <si>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</si>
  <si>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</si>
  <si>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</si>
  <si>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</si>
  <si>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</si>
  <si>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</si>
  <si>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</si>
  <si>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</si>
  <si>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</si>
  <si>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</si>
  <si>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</si>
  <si>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</si>
  <si>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</si>
  <si>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</si>
  <si>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</si>
  <si>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</si>
  <si>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</si>
  <si>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</si>
  <si>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</si>
  <si>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</si>
  <si>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</si>
  <si>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</si>
  <si>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</si>
  <si>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</si>
  <si>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</si>
  <si>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</si>
  <si>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</si>
  <si>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</si>
  <si>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</si>
  <si>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</si>
  <si>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</si>
  <si>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</si>
  <si>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</si>
  <si>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</si>
  <si>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</si>
  <si>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</si>
  <si>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</si>
  <si>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</si>
  <si>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</si>
  <si>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</si>
  <si>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</si>
  <si>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</si>
  <si>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</si>
  <si>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</si>
  <si>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</si>
  <si>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</si>
  <si>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</si>
  <si>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</si>
  <si>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</si>
  <si>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</si>
  <si>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</si>
  <si>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</si>
  <si>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</si>
  <si>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</si>
  <si>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</si>
  <si>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</si>
  <si>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</si>
  <si>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</si>
  <si>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</si>
  <si>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</si>
  <si>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</si>
  <si>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</si>
  <si>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</si>
  <si>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</si>
  <si>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</si>
  <si>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</si>
  <si>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</si>
  <si>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</si>
  <si>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</si>
  <si>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</si>
  <si>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</si>
  <si>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</si>
  <si>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</si>
  <si>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</si>
  <si>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</si>
  <si>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</si>
  <si>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</si>
  <si>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</si>
  <si>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</si>
  <si>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</si>
  <si>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</si>
  <si>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</si>
  <si>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</si>
  <si>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</si>
  <si>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</si>
  <si>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</si>
  <si>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</si>
  <si>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</si>
  <si>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</si>
  <si>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</si>
  <si>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</si>
  <si>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</si>
  <si>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</si>
  <si>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</si>
  <si>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</si>
  <si>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</si>
  <si>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</si>
  <si>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</si>
  <si>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</si>
  <si>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</si>
  <si>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</si>
  <si>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</si>
  <si>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</si>
  <si>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</si>
  <si>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</si>
  <si>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</si>
  <si>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</si>
  <si>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</si>
  <si>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</si>
  <si>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</si>
  <si>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</si>
  <si>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</si>
  <si>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</si>
  <si>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</si>
  <si>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</si>
  <si>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</si>
  <si>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</si>
  <si>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</si>
  <si>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</si>
  <si>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</si>
  <si>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</si>
  <si>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</si>
  <si>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</si>
  <si>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</si>
  <si>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</si>
  <si>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</si>
  <si>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</si>
  <si>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</si>
  <si>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</si>
  <si>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</si>
  <si>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</si>
  <si>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</si>
  <si>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</si>
  <si>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</si>
  <si>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</si>
  <si>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</si>
  <si>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</si>
  <si>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</si>
  <si>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</si>
  <si>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</si>
  <si>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</si>
  <si>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</si>
  <si>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</si>
  <si>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</si>
  <si>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</si>
  <si>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</si>
  <si>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</si>
  <si>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</si>
  <si>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</si>
  <si>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</si>
  <si>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</si>
  <si>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</si>
  <si>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</si>
  <si>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</si>
  <si>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</si>
  <si>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</si>
  <si>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</si>
  <si>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</si>
  <si>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</si>
  <si>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</si>
  <si>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</si>
  <si>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</si>
  <si>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</si>
  <si>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</si>
  <si>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</si>
  <si>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</si>
  <si>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</si>
  <si>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</si>
  <si>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</si>
  <si>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</si>
  <si>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</si>
  <si>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</si>
  <si>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</si>
  <si>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</si>
  <si>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</si>
  <si>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</si>
  <si>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</si>
  <si>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</si>
  <si>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</si>
  <si>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</si>
  <si>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</si>
  <si>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</si>
  <si>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</si>
  <si>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</si>
  <si>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</si>
  <si>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</si>
  <si>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</si>
  <si>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</si>
  <si>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</si>
  <si>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</si>
  <si>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</si>
  <si>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</si>
  <si>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</si>
  <si>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</si>
  <si>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</si>
  <si>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</si>
  <si>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</si>
  <si>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</si>
  <si>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</si>
  <si>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</si>
  <si>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</si>
  <si>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</si>
  <si>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</si>
  <si>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</si>
  <si>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</si>
  <si>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</si>
  <si>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</si>
  <si>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</si>
  <si>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</si>
  <si>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</si>
  <si>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</si>
  <si>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</si>
  <si>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</si>
  <si>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</si>
  <si>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</si>
  <si>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</si>
  <si>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</si>
  <si>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</si>
  <si>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</si>
  <si>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</si>
  <si>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</si>
  <si>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</si>
  <si>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</si>
  <si>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</si>
  <si>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</si>
  <si>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</si>
  <si>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</si>
  <si>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</si>
  <si>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</si>
  <si>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</si>
  <si>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</si>
  <si>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</si>
  <si>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</si>
  <si>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</si>
  <si>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</si>
  <si>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</si>
  <si>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</si>
  <si>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</si>
  <si>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</si>
  <si>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</si>
  <si>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</si>
  <si>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</si>
  <si>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</si>
  <si>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</si>
  <si>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</si>
  <si>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</si>
  <si>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</si>
  <si>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</si>
  <si>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</si>
  <si>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</si>
  <si>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</si>
  <si>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</si>
  <si>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</si>
  <si>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</si>
  <si>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</si>
  <si>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</si>
  <si>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</si>
  <si>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</si>
  <si>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</si>
  <si>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</si>
  <si>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</si>
  <si>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</si>
  <si>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</si>
  <si>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</si>
  <si>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</si>
  <si>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</si>
  <si>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</si>
  <si>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</si>
  <si>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</si>
  <si>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</si>
  <si>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</si>
  <si>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</si>
  <si>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</si>
  <si>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</si>
  <si>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</si>
  <si>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</si>
  <si>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</si>
  <si>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</si>
  <si>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</si>
  <si>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</si>
  <si>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</si>
  <si>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</si>
  <si>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</si>
  <si>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</si>
  <si>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</si>
  <si>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</si>
  <si>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</si>
  <si>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</si>
  <si>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</si>
  <si>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</si>
  <si>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</si>
  <si>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</si>
  <si>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</si>
  <si>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</si>
  <si>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</si>
  <si>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</si>
  <si>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</si>
  <si>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</si>
  <si>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</si>
  <si>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</si>
  <si>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</si>
  <si>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</si>
  <si>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</si>
  <si>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</si>
  <si>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</si>
  <si>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</si>
  <si>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</si>
  <si>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</si>
  <si>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</si>
  <si>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</si>
  <si>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</si>
  <si>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</si>
  <si>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</si>
  <si>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</si>
  <si>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</si>
  <si>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</si>
  <si>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</si>
  <si>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</si>
  <si>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</si>
  <si>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</si>
  <si>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</si>
  <si>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</si>
  <si>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</si>
  <si>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</si>
  <si>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</si>
  <si>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</si>
  <si>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</si>
  <si>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</si>
  <si>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</si>
  <si>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</si>
  <si>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</si>
  <si>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</si>
  <si>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</si>
  <si>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</si>
  <si>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</si>
  <si>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</si>
  <si>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</si>
  <si>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</si>
  <si>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</si>
  <si>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</si>
  <si>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</si>
  <si>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</si>
  <si>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</si>
  <si>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</si>
  <si>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</si>
  <si>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</si>
  <si>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</si>
  <si>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</si>
  <si>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</si>
  <si>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</si>
  <si>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</si>
  <si>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</si>
  <si>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</si>
  <si>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</si>
  <si>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</si>
  <si>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</si>
  <si>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</si>
  <si>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</si>
  <si>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</si>
  <si>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</si>
  <si>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</si>
  <si>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</si>
  <si>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</si>
  <si>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</si>
  <si>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</si>
  <si>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</si>
  <si>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</si>
  <si>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</si>
  <si>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</si>
  <si>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</si>
  <si>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</si>
  <si>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</si>
  <si>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</si>
  <si>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</si>
  <si>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</si>
  <si>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</si>
  <si>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</si>
  <si>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</si>
  <si>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</si>
  <si>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</si>
  <si>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</si>
  <si>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</si>
  <si>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</si>
  <si>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</si>
  <si>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</si>
  <si>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</si>
  <si>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</si>
  <si>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</si>
  <si>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</si>
  <si>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</si>
  <si>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</si>
  <si>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</si>
  <si>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</si>
  <si>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</si>
  <si>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</si>
  <si>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</si>
  <si>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</si>
  <si>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</si>
  <si>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</si>
  <si>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</si>
  <si>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</si>
  <si>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</si>
  <si>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</si>
  <si>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</si>
  <si>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</si>
  <si>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</si>
  <si>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</si>
  <si>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</si>
  <si>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</si>
  <si>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</si>
  <si>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</si>
  <si>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</si>
  <si>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</si>
  <si>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</si>
  <si>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</si>
  <si>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</si>
  <si>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</si>
  <si>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</si>
  <si>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</si>
  <si>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</si>
  <si>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</si>
  <si>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</si>
  <si>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</si>
  <si>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</si>
  <si>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</si>
  <si>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</si>
  <si>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</si>
  <si>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</si>
  <si>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</si>
  <si>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</si>
  <si>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</si>
  <si>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</si>
  <si>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</si>
  <si>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</si>
  <si>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</si>
  <si>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</si>
  <si>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</si>
  <si>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</si>
  <si>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</si>
  <si>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</si>
  <si>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</si>
  <si>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</si>
  <si>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</si>
  <si>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</si>
  <si>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</si>
  <si>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</si>
  <si>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</si>
  <si>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</si>
  <si>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</si>
  <si>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</si>
  <si>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</si>
  <si>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</si>
  <si>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</si>
  <si>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</si>
  <si>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</si>
  <si>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</si>
  <si>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</si>
  <si>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</si>
  <si>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</si>
  <si>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</si>
  <si>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</si>
  <si>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</si>
  <si>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</si>
  <si>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</si>
  <si>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</si>
  <si>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</si>
  <si>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</si>
  <si>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</si>
  <si>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</si>
  <si>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</si>
  <si>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</si>
  <si>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</si>
  <si>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</si>
  <si>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</si>
  <si>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</si>
  <si>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</si>
  <si>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</si>
  <si>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</si>
  <si>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</si>
  <si>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</si>
  <si>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</si>
  <si>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</si>
  <si>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</si>
  <si>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</si>
  <si>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</si>
  <si>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</si>
  <si>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</si>
  <si>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</si>
  <si>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</si>
  <si>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</si>
  <si>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</si>
  <si>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</si>
  <si>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</si>
  <si>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</si>
  <si>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</si>
  <si>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</si>
  <si>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</si>
  <si>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</si>
  <si>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</si>
  <si>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</si>
  <si>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</si>
  <si>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</si>
  <si>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</si>
  <si>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</si>
  <si>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</si>
  <si>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</si>
  <si>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</si>
  <si>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</si>
  <si>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</si>
  <si>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</si>
  <si>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</si>
  <si>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</si>
  <si>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</si>
  <si>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</si>
  <si>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</si>
  <si>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</si>
  <si>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</si>
  <si>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</si>
  <si>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</si>
  <si>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</si>
  <si>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</si>
  <si>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</si>
  <si>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</si>
  <si>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</si>
  <si>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</si>
  <si>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</si>
  <si>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</si>
  <si>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</si>
  <si>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</si>
  <si>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</si>
  <si>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</si>
  <si>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</si>
  <si>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</si>
  <si>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</si>
  <si>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</si>
  <si>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</si>
  <si>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</si>
  <si>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</si>
  <si>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</si>
  <si>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</si>
  <si>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</si>
  <si>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</si>
  <si>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</si>
  <si>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</si>
  <si>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</si>
  <si>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</si>
  <si>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</si>
  <si>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</si>
  <si>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</si>
  <si>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</si>
  <si>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</si>
  <si>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</si>
  <si>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</si>
  <si>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</si>
  <si>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</si>
  <si>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</si>
  <si>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</si>
  <si>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</si>
  <si>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</si>
  <si>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</si>
  <si>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</si>
  <si>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</si>
  <si>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</si>
  <si>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</si>
  <si>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</si>
  <si>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</si>
  <si>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</si>
  <si>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</si>
  <si>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</si>
  <si>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</si>
  <si>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</si>
  <si>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</si>
  <si>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</si>
  <si>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</si>
  <si>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</si>
  <si>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</si>
  <si>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</si>
  <si>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</si>
  <si>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</si>
  <si>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</si>
  <si>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</si>
  <si>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</si>
  <si>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</si>
  <si>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</si>
  <si>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</si>
  <si>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</si>
  <si>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</si>
  <si>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</si>
  <si>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</si>
  <si>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</si>
  <si>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</si>
  <si>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</si>
  <si>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</si>
  <si>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</si>
  <si>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</si>
  <si>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</si>
  <si>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</si>
  <si>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</si>
  <si>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</si>
  <si>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</si>
  <si>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</si>
  <si>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</si>
  <si>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</si>
  <si>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</si>
  <si>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</si>
  <si>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</si>
  <si>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</si>
  <si>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</si>
  <si>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</si>
  <si>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</si>
  <si>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</si>
  <si>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</si>
  <si>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</si>
  <si>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</si>
  <si>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</si>
  <si>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</si>
  <si>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</si>
  <si>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</si>
  <si>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</si>
  <si>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</si>
  <si>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</si>
  <si>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</si>
  <si>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</si>
  <si>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</si>
  <si>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</si>
  <si>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</si>
  <si>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</si>
  <si>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</si>
  <si>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</si>
  <si>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</si>
  <si>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</si>
  <si>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</si>
  <si>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</si>
  <si>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</si>
  <si>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</si>
  <si>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</si>
  <si>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</si>
  <si>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</si>
  <si>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</si>
  <si>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</si>
  <si>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</si>
  <si>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</si>
  <si>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</si>
  <si>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</si>
  <si>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</si>
  <si>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</si>
  <si>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</si>
  <si>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</si>
  <si>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</si>
  <si>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</si>
  <si>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</si>
  <si>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</si>
  <si>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</si>
  <si>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</si>
  <si>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</si>
  <si>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</si>
  <si>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</si>
  <si>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</si>
  <si>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</si>
  <si>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</si>
  <si>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</si>
  <si>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</si>
  <si>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</si>
  <si>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</si>
  <si>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</si>
  <si>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</si>
  <si>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</si>
  <si>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</si>
  <si>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</si>
  <si>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</si>
  <si>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</si>
  <si>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</si>
  <si>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</si>
  <si>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</si>
  <si>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</si>
  <si>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</si>
  <si>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</si>
  <si>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</si>
  <si>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</si>
  <si>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</si>
  <si>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</si>
  <si>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</si>
  <si>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</si>
  <si>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</si>
  <si>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</si>
  <si>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</si>
  <si>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</si>
  <si>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</si>
  <si>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</si>
  <si>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</si>
  <si>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</si>
  <si>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</si>
  <si>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</si>
  <si>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</si>
  <si>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</si>
  <si>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</si>
  <si>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</si>
  <si>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</si>
  <si>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</si>
  <si>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</si>
  <si>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</si>
  <si>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</si>
  <si>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</si>
  <si>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</si>
  <si>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</si>
  <si>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</si>
  <si>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</si>
  <si>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</si>
  <si>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</si>
  <si>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</si>
  <si>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</si>
  <si>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</si>
  <si>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</si>
  <si>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</si>
  <si>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</si>
  <si>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</si>
  <si>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</si>
  <si>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</si>
  <si>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</si>
  <si>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</si>
  <si>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</si>
  <si>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</si>
  <si>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</si>
  <si>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</si>
  <si>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</si>
  <si>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</si>
  <si>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</si>
  <si>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</si>
  <si>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</si>
  <si>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</si>
  <si>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</si>
  <si>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</si>
  <si>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</si>
  <si>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</si>
  <si>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</si>
  <si>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</si>
  <si>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</si>
  <si>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</si>
  <si>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</si>
  <si>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</si>
  <si>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</si>
  <si>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</si>
  <si>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</si>
  <si>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</si>
  <si>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</si>
  <si>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</si>
  <si>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</si>
  <si>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</si>
  <si>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</si>
  <si>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</si>
  <si>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</si>
  <si>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</si>
  <si>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</si>
  <si>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</si>
  <si>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</si>
  <si>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</si>
  <si>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</si>
  <si>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</si>
  <si>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</si>
  <si>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</si>
  <si>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</si>
  <si>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</si>
  <si>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</si>
  <si>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</si>
  <si>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</si>
  <si>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</si>
  <si>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</si>
  <si>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</si>
  <si>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</si>
  <si>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</si>
  <si>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</si>
  <si>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</si>
  <si>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</si>
  <si>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</si>
  <si>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</si>
  <si>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</si>
  <si>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</si>
  <si>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</si>
  <si>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</si>
  <si>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</si>
  <si>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</si>
  <si>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</si>
  <si>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</si>
  <si>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</si>
  <si>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</si>
  <si>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</si>
  <si>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</si>
  <si>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</si>
  <si>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</si>
  <si>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</si>
  <si>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</si>
  <si>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</si>
  <si>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</si>
  <si>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</si>
  <si>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</si>
  <si>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</si>
  <si>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</si>
  <si>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</si>
  <si>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</si>
  <si>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</si>
  <si>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</si>
  <si>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</si>
  <si>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</si>
  <si>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</si>
  <si>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</si>
  <si>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</si>
  <si>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</si>
  <si>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</si>
  <si>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</si>
  <si>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</si>
  <si>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</si>
  <si>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</si>
  <si>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</si>
  <si>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</si>
  <si>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</si>
  <si>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</si>
  <si>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</si>
  <si>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</si>
  <si>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</si>
  <si>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</si>
  <si>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</si>
  <si>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</si>
  <si>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</si>
  <si>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</si>
  <si>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</si>
  <si>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</si>
  <si>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</si>
  <si>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</si>
  <si>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</si>
  <si>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</si>
  <si>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</si>
  <si>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</si>
  <si>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</si>
  <si>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</si>
  <si>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</si>
  <si>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</si>
  <si>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</si>
  <si>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</si>
  <si>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</si>
  <si>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</si>
  <si>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</si>
  <si>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</si>
  <si>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</si>
  <si>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</si>
  <si>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</si>
  <si>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</si>
  <si>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</si>
  <si>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</si>
  <si>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</si>
  <si>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</si>
  <si>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</si>
  <si>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</si>
  <si>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</si>
  <si>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</si>
  <si>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</si>
  <si>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</si>
  <si>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</si>
  <si>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</si>
  <si>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</si>
  <si>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</si>
  <si>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</si>
  <si>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</si>
  <si>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</si>
  <si>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</si>
  <si>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</si>
  <si>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</si>
  <si>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</si>
  <si>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</si>
  <si>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</si>
  <si>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</si>
  <si>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</si>
  <si>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</si>
  <si>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</si>
  <si>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</si>
  <si>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</si>
  <si>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</si>
  <si>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</si>
  <si>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</si>
  <si>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</si>
  <si>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</si>
  <si>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</si>
  <si>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</si>
  <si>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</si>
  <si>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</si>
  <si>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</si>
  <si>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</si>
  <si>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</si>
  <si>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</si>
  <si>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</si>
  <si>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</si>
  <si>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</si>
  <si>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</si>
  <si>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</si>
  <si>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</si>
  <si>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</si>
  <si>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No.of calls</t>
  </si>
  <si>
    <t>Amount</t>
  </si>
  <si>
    <t>Time</t>
  </si>
  <si>
    <t>Rating</t>
  </si>
  <si>
    <t>top rating</t>
  </si>
  <si>
    <t>Row Labels</t>
  </si>
  <si>
    <t>Grand Total</t>
  </si>
  <si>
    <t>Jan</t>
  </si>
  <si>
    <t>Feb</t>
  </si>
  <si>
    <t>Mar</t>
  </si>
  <si>
    <t>Apr</t>
  </si>
  <si>
    <t>May</t>
  </si>
  <si>
    <t>Jun</t>
  </si>
  <si>
    <t>Jul</t>
  </si>
  <si>
    <t>Aug</t>
  </si>
  <si>
    <t>Sep</t>
  </si>
  <si>
    <t>Oct</t>
  </si>
  <si>
    <t>Nov</t>
  </si>
  <si>
    <t>Dec</t>
  </si>
  <si>
    <t>No.of calls2</t>
  </si>
  <si>
    <t>Friday</t>
  </si>
  <si>
    <t>Monday</t>
  </si>
  <si>
    <t>Saturday</t>
  </si>
  <si>
    <t>Sunday</t>
  </si>
  <si>
    <t>Thursday</t>
  </si>
  <si>
    <t>Tuesday</t>
  </si>
  <si>
    <t>Wednesday</t>
  </si>
  <si>
    <t>Rep</t>
  </si>
  <si>
    <t>Calls</t>
  </si>
  <si>
    <t>Sel.Calls</t>
  </si>
  <si>
    <t>Sel.Amount</t>
  </si>
  <si>
    <t>Selected rep</t>
  </si>
  <si>
    <t>Selected table</t>
  </si>
  <si>
    <t>Column Labels</t>
  </si>
  <si>
    <t>Gender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</si>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</sst>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quot;₹&quot;\ #,###.0,\k"/>
    <numFmt numFmtId="168" formatCode="&quot;₹&quot;\ #,##0;#,##0\ \-&quot;₹&quot;;&quot;₹&quot;\ #,##0"/>
    <numFmt numFmtId="169" formatCode="&quot;₹&quot;\ #,##0"/>
  </numFmts>
  <fonts count="4">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8"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2" borderId="0" xfId="0" applyFill="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NumberFormat="1" applyFont="1"/>
    <xf numFmtId="0" fontId="0" fillId="3" borderId="0" xfId="0" applyFill="1"/>
    <xf numFmtId="0" fontId="0" fillId="0" borderId="0" xfId="0" applyNumberFormat="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xf numFmtId="167" fontId="0" fillId="0" borderId="0" xfId="0" applyNumberFormat="1"/>
    <xf numFmtId="168" fontId="0" fillId="0" borderId="0" xfId="0" applyNumberFormat="1"/>
    <xf numFmtId="0" fontId="0" fillId="0" borderId="0" xfId="0" applyAlignment="1">
      <alignment horizontal="center"/>
    </xf>
    <xf numFmtId="0" fontId="0" fillId="0" borderId="0" xfId="0" applyAlignment="1">
      <alignment horizontal="left" indent="1"/>
    </xf>
    <xf numFmtId="0" fontId="0" fillId="3" borderId="0" xfId="0" applyFill="1" applyBorder="1" applyAlignment="1">
      <alignment horizontal="right" vertical="center"/>
    </xf>
    <xf numFmtId="169" fontId="0" fillId="3" borderId="0" xfId="0" applyNumberFormat="1" applyFill="1" applyBorder="1" applyAlignment="1">
      <alignment horizontal="right" vertical="center"/>
    </xf>
    <xf numFmtId="0" fontId="0" fillId="3" borderId="10" xfId="0" applyFill="1" applyBorder="1"/>
    <xf numFmtId="0" fontId="0" fillId="3" borderId="11" xfId="0" applyFill="1" applyBorder="1" applyAlignment="1">
      <alignment horizontal="right" vertical="center"/>
    </xf>
    <xf numFmtId="0" fontId="0" fillId="3" borderId="12" xfId="0" applyFill="1" applyBorder="1" applyAlignment="1">
      <alignment horizontal="right" vertical="center"/>
    </xf>
    <xf numFmtId="0" fontId="0" fillId="3" borderId="13" xfId="0" applyFill="1" applyBorder="1"/>
    <xf numFmtId="0" fontId="0" fillId="3" borderId="14" xfId="0" applyFill="1" applyBorder="1" applyAlignment="1">
      <alignment horizontal="right" vertical="center"/>
    </xf>
    <xf numFmtId="169" fontId="0" fillId="3" borderId="14" xfId="0" applyNumberFormat="1" applyFill="1" applyBorder="1" applyAlignment="1">
      <alignment horizontal="right" vertical="center"/>
    </xf>
    <xf numFmtId="0" fontId="0" fillId="3" borderId="15" xfId="0" applyFill="1" applyBorder="1"/>
    <xf numFmtId="169" fontId="0" fillId="3" borderId="16" xfId="0" applyNumberFormat="1" applyFill="1" applyBorder="1" applyAlignment="1">
      <alignment horizontal="right" vertical="center"/>
    </xf>
    <xf numFmtId="169" fontId="0" fillId="3" borderId="17" xfId="0" applyNumberFormat="1" applyFill="1" applyBorder="1" applyAlignment="1">
      <alignment horizontal="right" vertical="center"/>
    </xf>
  </cellXfs>
  <cellStyles count="1">
    <cellStyle name="Normal" xfId="0" builtinId="0"/>
  </cellStyles>
  <dxfs count="19">
    <dxf>
      <fill>
        <patternFill>
          <bgColor rgb="FFED8013"/>
        </patternFill>
      </fill>
      <border>
        <vertical/>
        <horizontal/>
      </border>
    </dxf>
    <dxf>
      <fill>
        <patternFill>
          <bgColor rgb="FFF89B62"/>
        </patternFill>
      </fill>
      <border>
        <vertical/>
        <horizontal/>
      </border>
    </dxf>
    <dxf>
      <fill>
        <patternFill>
          <bgColor rgb="FFFFC000"/>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center"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 Style 2" pivot="0" table="0" count="0" xr9:uid="{9CE4DCD9-AA10-42DD-AE89-9527CFD5BC3B}"/>
  </tableStyles>
  <colors>
    <mruColors>
      <color rgb="FFF89B62"/>
      <color rgb="FFED8013"/>
      <color rgb="FFF4520A"/>
      <color rgb="FFF23D0C"/>
      <color rgb="FFFBDCC9"/>
      <color rgb="FFFAB7B0"/>
      <color rgb="FFF46666"/>
      <color rgb="FFF7BD8D"/>
      <color rgb="FFF99061"/>
      <color rgb="FFFCE5DA"/>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Call Data.xlsx]Pivot!Monthly calls</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Pivot!$C$22</c:f>
              <c:strCache>
                <c:ptCount val="1"/>
                <c:pt idx="0">
                  <c:v>No.of calls2</c:v>
                </c:pt>
              </c:strCache>
            </c:strRef>
          </c:tx>
          <c:spPr>
            <a:solidFill>
              <a:schemeClr val="accent2"/>
            </a:solidFill>
            <a:ln>
              <a:noFill/>
            </a:ln>
            <a:effectLst/>
          </c:spP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Pivot!$C$23:$C$35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2-9315-47E8-A397-961F80E5EA96}"/>
            </c:ext>
          </c:extLst>
        </c:ser>
        <c:dLbls>
          <c:showLegendKey val="0"/>
          <c:showVal val="0"/>
          <c:showCatName val="0"/>
          <c:showSerName val="0"/>
          <c:showPercent val="0"/>
          <c:showBubbleSize val="0"/>
        </c:dLbls>
        <c:axId val="253210751"/>
        <c:axId val="253197023"/>
      </c:areaChart>
      <c:lineChart>
        <c:grouping val="standard"/>
        <c:varyColors val="0"/>
        <c:ser>
          <c:idx val="0"/>
          <c:order val="0"/>
          <c:tx>
            <c:strRef>
              <c:f>Pivot!$B$22</c:f>
              <c:strCache>
                <c:ptCount val="1"/>
                <c:pt idx="0">
                  <c:v>No.of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Pivot!$B$23:$B$35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9315-47E8-A397-961F80E5EA96}"/>
            </c:ext>
          </c:extLst>
        </c:ser>
        <c:dLbls>
          <c:showLegendKey val="0"/>
          <c:showVal val="0"/>
          <c:showCatName val="0"/>
          <c:showSerName val="0"/>
          <c:showPercent val="0"/>
          <c:showBubbleSize val="0"/>
        </c:dLbls>
        <c:marker val="1"/>
        <c:smooth val="0"/>
        <c:axId val="253210751"/>
        <c:axId val="253197023"/>
      </c:lineChart>
      <c:catAx>
        <c:axId val="25321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97023"/>
        <c:crosses val="autoZero"/>
        <c:auto val="1"/>
        <c:lblAlgn val="ctr"/>
        <c:lblOffset val="100"/>
        <c:noMultiLvlLbl val="0"/>
      </c:catAx>
      <c:valAx>
        <c:axId val="253197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1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Call Data.xlsx]Pivot!Week day calls</c:name>
    <c:fmtId val="2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Pivot!$B$43</c:f>
              <c:strCache>
                <c:ptCount val="1"/>
                <c:pt idx="0">
                  <c:v>Total</c:v>
                </c:pt>
              </c:strCache>
            </c:strRef>
          </c:tx>
          <c:spPr>
            <a:solidFill>
              <a:schemeClr val="accent1"/>
            </a:solidFill>
            <a:ln>
              <a:noFill/>
            </a:ln>
            <a:effectLst/>
            <a:sp3d/>
          </c:spPr>
          <c:invertIfNegative val="0"/>
          <c:cat>
            <c:strRef>
              <c:f>Pivot!$A$44:$A$51</c:f>
              <c:strCache>
                <c:ptCount val="7"/>
                <c:pt idx="0">
                  <c:v>Monday</c:v>
                </c:pt>
                <c:pt idx="1">
                  <c:v>Tuesday</c:v>
                </c:pt>
                <c:pt idx="2">
                  <c:v>Wednesday</c:v>
                </c:pt>
                <c:pt idx="3">
                  <c:v>Thursday</c:v>
                </c:pt>
                <c:pt idx="4">
                  <c:v>Friday</c:v>
                </c:pt>
                <c:pt idx="5">
                  <c:v>Saturday</c:v>
                </c:pt>
                <c:pt idx="6">
                  <c:v>Sunday</c:v>
                </c:pt>
              </c:strCache>
            </c:strRef>
          </c:cat>
          <c:val>
            <c:numRef>
              <c:f>Pivot!$B$44:$B$51</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40D9-4461-B790-6D99E36E0F05}"/>
            </c:ext>
          </c:extLst>
        </c:ser>
        <c:dLbls>
          <c:showLegendKey val="0"/>
          <c:showVal val="0"/>
          <c:showCatName val="0"/>
          <c:showSerName val="0"/>
          <c:showPercent val="0"/>
          <c:showBubbleSize val="0"/>
        </c:dLbls>
        <c:gapWidth val="150"/>
        <c:shape val="box"/>
        <c:axId val="718697487"/>
        <c:axId val="718689583"/>
        <c:axId val="0"/>
      </c:bar3DChart>
      <c:catAx>
        <c:axId val="71869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689583"/>
        <c:crosses val="autoZero"/>
        <c:auto val="1"/>
        <c:lblAlgn val="ctr"/>
        <c:lblOffset val="100"/>
        <c:noMultiLvlLbl val="0"/>
      </c:catAx>
      <c:valAx>
        <c:axId val="718689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6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No.of Calls</a:t>
            </a:r>
          </a:p>
        </c:rich>
      </c:tx>
      <c:overlay val="0"/>
      <c:spPr>
        <a:noFill/>
        <a:ln w="0">
          <a:noFill/>
        </a:ln>
        <a:effectLst/>
      </c:spPr>
    </c:title>
    <c:autoTitleDeleted val="0"/>
    <c:plotArea>
      <c:layout>
        <c:manualLayout>
          <c:layoutTarget val="inner"/>
          <c:xMode val="edge"/>
          <c:yMode val="edge"/>
          <c:x val="5.9668790617585676E-2"/>
          <c:y val="0.3774843111126297"/>
          <c:w val="0.84035231664061327"/>
          <c:h val="0.47627716211787008"/>
        </c:manualLayout>
      </c:layout>
      <c:barChart>
        <c:barDir val="col"/>
        <c:grouping val="clustered"/>
        <c:varyColors val="0"/>
        <c:ser>
          <c:idx val="2"/>
          <c:order val="0"/>
          <c:tx>
            <c:strRef>
              <c:f>Pivot!$G$58</c:f>
              <c:strCache>
                <c:ptCount val="1"/>
                <c:pt idx="0">
                  <c:v>Calls</c:v>
                </c:pt>
              </c:strCache>
            </c:strRef>
          </c:tx>
          <c:spPr>
            <a:gradFill>
              <a:gsLst>
                <a:gs pos="100000">
                  <a:srgbClr val="F0C7EF"/>
                </a:gs>
                <a:gs pos="0">
                  <a:srgbClr val="E8A8E6"/>
                </a:gs>
                <a:gs pos="0">
                  <a:schemeClr val="accent1">
                    <a:lumMod val="5000"/>
                    <a:lumOff val="95000"/>
                  </a:schemeClr>
                </a:gs>
                <a:gs pos="100000">
                  <a:srgbClr val="A755A5"/>
                </a:gs>
                <a:gs pos="100000">
                  <a:schemeClr val="accent1">
                    <a:lumMod val="75000"/>
                  </a:schemeClr>
                </a:gs>
                <a:gs pos="0">
                  <a:schemeClr val="accent1">
                    <a:lumMod val="45000"/>
                    <a:lumOff val="55000"/>
                  </a:schemeClr>
                </a:gs>
                <a:gs pos="96000">
                  <a:schemeClr val="accent1">
                    <a:lumMod val="75000"/>
                  </a:schemeClr>
                </a:gs>
                <a:gs pos="100000">
                  <a:schemeClr val="accent1">
                    <a:lumMod val="30000"/>
                    <a:lumOff val="70000"/>
                  </a:schemeClr>
                </a:gs>
              </a:gsLst>
              <a:lin ang="5400000" scaled="1"/>
            </a:gradFill>
            <a:ln>
              <a:solidFill>
                <a:schemeClr val="tx1">
                  <a:lumMod val="15000"/>
                  <a:lumOff val="85000"/>
                </a:schemeClr>
              </a:solidFill>
            </a:ln>
            <a:effectLst>
              <a:glow rad="127000">
                <a:schemeClr val="accent1">
                  <a:alpha val="0"/>
                </a:schemeClr>
              </a:glow>
              <a:outerShdw blurRad="50800" dist="50800" dir="5400000" sx="1000" sy="1000" algn="ctr" rotWithShape="0">
                <a:srgbClr val="000000">
                  <a:alpha val="43137"/>
                </a:srgbClr>
              </a:outerShdw>
            </a:effectLst>
            <a:scene3d>
              <a:camera prst="orthographicFront"/>
              <a:lightRig rig="threePt" dir="t"/>
            </a:scene3d>
            <a:sp3d/>
          </c:spPr>
          <c:invertIfNegative val="0"/>
          <c:cat>
            <c:strRef>
              <c:f>Pivot!$E$59:$E$63</c:f>
              <c:strCache>
                <c:ptCount val="5"/>
                <c:pt idx="0">
                  <c:v>R01</c:v>
                </c:pt>
                <c:pt idx="1">
                  <c:v>R02</c:v>
                </c:pt>
                <c:pt idx="2">
                  <c:v>R03</c:v>
                </c:pt>
                <c:pt idx="3">
                  <c:v>R04</c:v>
                </c:pt>
                <c:pt idx="4">
                  <c:v>R05</c:v>
                </c:pt>
              </c:strCache>
            </c:strRef>
          </c:cat>
          <c:val>
            <c:numRef>
              <c:f>Pivot!$G$59:$G$63</c:f>
              <c:numCache>
                <c:formatCode>#,##0</c:formatCode>
                <c:ptCount val="5"/>
                <c:pt idx="0" formatCode="General">
                  <c:v>189</c:v>
                </c:pt>
                <c:pt idx="1">
                  <c:v>218</c:v>
                </c:pt>
                <c:pt idx="2" formatCode="General">
                  <c:v>207</c:v>
                </c:pt>
                <c:pt idx="3" formatCode="General">
                  <c:v>186</c:v>
                </c:pt>
                <c:pt idx="4" formatCode="General">
                  <c:v>200</c:v>
                </c:pt>
              </c:numCache>
            </c:numRef>
          </c:val>
          <c:extLst>
            <c:ext xmlns:c16="http://schemas.microsoft.com/office/drawing/2014/chart" uri="{C3380CC4-5D6E-409C-BE32-E72D297353CC}">
              <c16:uniqueId val="{00000009-CF3D-43C1-8D9A-2D3B8EB6D39C}"/>
            </c:ext>
          </c:extLst>
        </c:ser>
        <c:ser>
          <c:idx val="3"/>
          <c:order val="1"/>
          <c:tx>
            <c:strRef>
              <c:f>Pivot!$H$58</c:f>
              <c:strCache>
                <c:ptCount val="1"/>
                <c:pt idx="0">
                  <c:v>Sel.Calls</c:v>
                </c:pt>
              </c:strCache>
            </c:strRef>
          </c:tx>
          <c:spPr>
            <a:solidFill>
              <a:schemeClr val="accent2">
                <a:lumMod val="60000"/>
                <a:lumOff val="40000"/>
              </a:schemeClr>
            </a:solidFill>
          </c:spPr>
          <c:invertIfNegative val="0"/>
          <c:val>
            <c:numRef>
              <c:f>Pivot!$H$59:$H$63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A-CF3D-43C1-8D9A-2D3B8EB6D39C}"/>
            </c:ext>
          </c:extLst>
        </c:ser>
        <c:ser>
          <c:idx val="0"/>
          <c:order val="2"/>
          <c:tx>
            <c:strRef>
              <c:f>Pivot!$G$58</c:f>
              <c:strCache>
                <c:ptCount val="1"/>
                <c:pt idx="0">
                  <c:v>Calls</c:v>
                </c:pt>
              </c:strCache>
            </c:strRef>
          </c:tx>
          <c:spPr>
            <a:gradFill>
              <a:gsLst>
                <a:gs pos="100000">
                  <a:srgbClr val="F0C7EF"/>
                </a:gs>
                <a:gs pos="0">
                  <a:srgbClr val="E8A8E6"/>
                </a:gs>
                <a:gs pos="0">
                  <a:schemeClr val="accent1">
                    <a:lumMod val="5000"/>
                    <a:lumOff val="95000"/>
                  </a:schemeClr>
                </a:gs>
                <a:gs pos="100000">
                  <a:srgbClr val="A755A5"/>
                </a:gs>
                <a:gs pos="100000">
                  <a:schemeClr val="accent1">
                    <a:lumMod val="75000"/>
                  </a:schemeClr>
                </a:gs>
                <a:gs pos="0">
                  <a:schemeClr val="accent1">
                    <a:lumMod val="45000"/>
                    <a:lumOff val="55000"/>
                  </a:schemeClr>
                </a:gs>
                <a:gs pos="96000">
                  <a:schemeClr val="accent1">
                    <a:lumMod val="75000"/>
                  </a:schemeClr>
                </a:gs>
                <a:gs pos="100000">
                  <a:schemeClr val="accent1">
                    <a:lumMod val="30000"/>
                    <a:lumOff val="70000"/>
                  </a:schemeClr>
                </a:gs>
              </a:gsLst>
              <a:lin ang="5400000" scaled="1"/>
            </a:gradFill>
            <a:ln>
              <a:solidFill>
                <a:schemeClr val="tx1">
                  <a:lumMod val="15000"/>
                  <a:lumOff val="85000"/>
                </a:schemeClr>
              </a:solidFill>
            </a:ln>
            <a:effectLst>
              <a:glow rad="127000">
                <a:schemeClr val="accent1">
                  <a:alpha val="0"/>
                </a:schemeClr>
              </a:glow>
              <a:outerShdw blurRad="50800" dist="50800" dir="5400000" sx="1000" sy="1000" algn="ctr" rotWithShape="0">
                <a:srgbClr val="000000">
                  <a:alpha val="43137"/>
                </a:srgbClr>
              </a:outerShd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Pivot!$E$59:$E$63</c:f>
              <c:strCache>
                <c:ptCount val="5"/>
                <c:pt idx="0">
                  <c:v>R01</c:v>
                </c:pt>
                <c:pt idx="1">
                  <c:v>R02</c:v>
                </c:pt>
                <c:pt idx="2">
                  <c:v>R03</c:v>
                </c:pt>
                <c:pt idx="3">
                  <c:v>R04</c:v>
                </c:pt>
                <c:pt idx="4">
                  <c:v>R05</c:v>
                </c:pt>
              </c:strCache>
            </c:strRef>
          </c:cat>
          <c:val>
            <c:numRef>
              <c:f>Pivot!$G$59:$G$63</c:f>
              <c:numCache>
                <c:formatCode>#,##0</c:formatCode>
                <c:ptCount val="5"/>
                <c:pt idx="0" formatCode="General">
                  <c:v>189</c:v>
                </c:pt>
                <c:pt idx="1">
                  <c:v>218</c:v>
                </c:pt>
                <c:pt idx="2" formatCode="General">
                  <c:v>207</c:v>
                </c:pt>
                <c:pt idx="3" formatCode="General">
                  <c:v>186</c:v>
                </c:pt>
                <c:pt idx="4" formatCode="General">
                  <c:v>200</c:v>
                </c:pt>
              </c:numCache>
            </c:numRef>
          </c:val>
          <c:extLst>
            <c:ext xmlns:c16="http://schemas.microsoft.com/office/drawing/2014/chart" uri="{C3380CC4-5D6E-409C-BE32-E72D297353CC}">
              <c16:uniqueId val="{00000004-CF3D-43C1-8D9A-2D3B8EB6D39C}"/>
            </c:ext>
          </c:extLst>
        </c:ser>
        <c:ser>
          <c:idx val="1"/>
          <c:order val="3"/>
          <c:tx>
            <c:strRef>
              <c:f>Pivot!$H$58</c:f>
              <c:strCache>
                <c:ptCount val="1"/>
                <c:pt idx="0">
                  <c:v>Sel.Calls</c:v>
                </c:pt>
              </c:strCache>
            </c:strRef>
          </c:tx>
          <c:spPr>
            <a:solidFill>
              <a:srgbClr val="F79B89"/>
            </a:solidFill>
            <a:ln>
              <a:noFill/>
            </a:ln>
            <a:effectLst>
              <a:innerShdw blurRad="114300">
                <a:schemeClr val="accent2">
                  <a:tint val="77000"/>
                </a:schemeClr>
              </a:innerShdw>
            </a:effectLst>
          </c:spPr>
          <c:invertIfNegative val="0"/>
          <c:dPt>
            <c:idx val="0"/>
            <c:invertIfNegative val="0"/>
            <c:bubble3D val="0"/>
            <c:spPr>
              <a:solidFill>
                <a:srgbClr val="F79B89"/>
              </a:solidFill>
              <a:ln>
                <a:noFill/>
              </a:ln>
              <a:effectLst>
                <a:innerShdw blurRad="114300">
                  <a:schemeClr val="accent2">
                    <a:tint val="77000"/>
                  </a:schemeClr>
                </a:innerShdw>
              </a:effectLst>
            </c:spPr>
            <c:extLst>
              <c:ext xmlns:c16="http://schemas.microsoft.com/office/drawing/2014/chart" uri="{C3380CC4-5D6E-409C-BE32-E72D297353CC}">
                <c16:uniqueId val="{00000007-CF3D-43C1-8D9A-2D3B8EB6D39C}"/>
              </c:ext>
            </c:extLst>
          </c:dPt>
          <c:val>
            <c:numRef>
              <c:f>Pivot!$H$59:$H$63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8-CF3D-43C1-8D9A-2D3B8EB6D39C}"/>
            </c:ext>
          </c:extLst>
        </c:ser>
        <c:dLbls>
          <c:showLegendKey val="0"/>
          <c:showVal val="0"/>
          <c:showCatName val="0"/>
          <c:showSerName val="0"/>
          <c:showPercent val="0"/>
          <c:showBubbleSize val="0"/>
        </c:dLbls>
        <c:gapWidth val="150"/>
        <c:overlap val="100"/>
        <c:axId val="716463775"/>
        <c:axId val="716469183"/>
      </c:barChart>
      <c:catAx>
        <c:axId val="71646377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716469183"/>
        <c:crosses val="autoZero"/>
        <c:auto val="1"/>
        <c:lblAlgn val="ctr"/>
        <c:lblOffset val="100"/>
        <c:noMultiLvlLbl val="0"/>
      </c:catAx>
      <c:valAx>
        <c:axId val="716469183"/>
        <c:scaling>
          <c:orientation val="minMax"/>
        </c:scaling>
        <c:delete val="1"/>
        <c:axPos val="l"/>
        <c:numFmt formatCode="General" sourceLinked="1"/>
        <c:majorTickMark val="out"/>
        <c:minorTickMark val="none"/>
        <c:tickLblPos val="nextTo"/>
        <c:crossAx val="716463775"/>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Call Data.xlsx]Pivot!Female vs Male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3">
                    <a:lumMod val="50000"/>
                  </a:schemeClr>
                </a:solidFill>
              </a:rPr>
              <a:t>Female</a:t>
            </a:r>
            <a:r>
              <a:rPr lang="en-IN" baseline="0">
                <a:solidFill>
                  <a:schemeClr val="accent3">
                    <a:lumMod val="50000"/>
                  </a:schemeClr>
                </a:solidFill>
              </a:rPr>
              <a:t> vs Male callers</a:t>
            </a:r>
            <a:endParaRPr lang="en-IN">
              <a:solidFill>
                <a:schemeClr val="accent3">
                  <a:lumMod val="50000"/>
                </a:schemeClr>
              </a:solidFill>
            </a:endParaRPr>
          </a:p>
        </c:rich>
      </c:tx>
      <c:layout>
        <c:manualLayout>
          <c:xMode val="edge"/>
          <c:yMode val="edge"/>
          <c:x val="0.31753455818022741"/>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158737697472241E-2"/>
          <c:y val="0.21449111789631495"/>
          <c:w val="0.93888888888888888"/>
          <c:h val="0.48536125692621757"/>
        </c:manualLayout>
      </c:layout>
      <c:bar3DChart>
        <c:barDir val="col"/>
        <c:grouping val="percentStacked"/>
        <c:varyColors val="0"/>
        <c:ser>
          <c:idx val="0"/>
          <c:order val="0"/>
          <c:tx>
            <c:strRef>
              <c:f>Pivot!$B$80:$B$81</c:f>
              <c:strCache>
                <c:ptCount val="1"/>
                <c:pt idx="0">
                  <c:v>Female</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Pivot!$A$82:$A$85</c:f>
              <c:strCache>
                <c:ptCount val="3"/>
                <c:pt idx="0">
                  <c:v>Cincinnati</c:v>
                </c:pt>
                <c:pt idx="1">
                  <c:v>Cleveland</c:v>
                </c:pt>
                <c:pt idx="2">
                  <c:v>Columbus</c:v>
                </c:pt>
              </c:strCache>
            </c:strRef>
          </c:cat>
          <c:val>
            <c:numRef>
              <c:f>Pivot!$B$82:$B$85</c:f>
              <c:numCache>
                <c:formatCode>#,##0</c:formatCode>
                <c:ptCount val="3"/>
                <c:pt idx="0">
                  <c:v>144</c:v>
                </c:pt>
                <c:pt idx="1">
                  <c:v>326</c:v>
                </c:pt>
                <c:pt idx="2">
                  <c:v>129</c:v>
                </c:pt>
              </c:numCache>
            </c:numRef>
          </c:val>
          <c:extLst>
            <c:ext xmlns:c16="http://schemas.microsoft.com/office/drawing/2014/chart" uri="{C3380CC4-5D6E-409C-BE32-E72D297353CC}">
              <c16:uniqueId val="{00000000-B987-4B12-A23C-86C105F01C05}"/>
            </c:ext>
          </c:extLst>
        </c:ser>
        <c:ser>
          <c:idx val="1"/>
          <c:order val="1"/>
          <c:tx>
            <c:strRef>
              <c:f>Pivot!$C$80:$C$81</c:f>
              <c:strCache>
                <c:ptCount val="1"/>
                <c:pt idx="0">
                  <c:v>Male</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Pivot!$A$82:$A$85</c:f>
              <c:strCache>
                <c:ptCount val="3"/>
                <c:pt idx="0">
                  <c:v>Cincinnati</c:v>
                </c:pt>
                <c:pt idx="1">
                  <c:v>Cleveland</c:v>
                </c:pt>
                <c:pt idx="2">
                  <c:v>Columbus</c:v>
                </c:pt>
              </c:strCache>
            </c:strRef>
          </c:cat>
          <c:val>
            <c:numRef>
              <c:f>Pivot!$C$82:$C$85</c:f>
              <c:numCache>
                <c:formatCode>#,##0</c:formatCode>
                <c:ptCount val="3"/>
                <c:pt idx="0">
                  <c:v>132</c:v>
                </c:pt>
                <c:pt idx="1">
                  <c:v>63</c:v>
                </c:pt>
                <c:pt idx="2">
                  <c:v>206</c:v>
                </c:pt>
              </c:numCache>
            </c:numRef>
          </c:val>
          <c:extLst>
            <c:ext xmlns:c16="http://schemas.microsoft.com/office/drawing/2014/chart" uri="{C3380CC4-5D6E-409C-BE32-E72D297353CC}">
              <c16:uniqueId val="{00000001-B987-4B12-A23C-86C105F01C05}"/>
            </c:ext>
          </c:extLst>
        </c:ser>
        <c:dLbls>
          <c:showLegendKey val="0"/>
          <c:showVal val="1"/>
          <c:showCatName val="0"/>
          <c:showSerName val="0"/>
          <c:showPercent val="0"/>
          <c:showBubbleSize val="0"/>
        </c:dLbls>
        <c:gapWidth val="150"/>
        <c:shape val="box"/>
        <c:axId val="1906984783"/>
        <c:axId val="1906996015"/>
        <c:axId val="0"/>
      </c:bar3DChart>
      <c:catAx>
        <c:axId val="1906984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96015"/>
        <c:crosses val="autoZero"/>
        <c:auto val="1"/>
        <c:lblAlgn val="ctr"/>
        <c:lblOffset val="100"/>
        <c:noMultiLvlLbl val="0"/>
      </c:catAx>
      <c:valAx>
        <c:axId val="1906996015"/>
        <c:scaling>
          <c:orientation val="minMax"/>
        </c:scaling>
        <c:delete val="1"/>
        <c:axPos val="l"/>
        <c:numFmt formatCode="0%" sourceLinked="1"/>
        <c:majorTickMark val="out"/>
        <c:minorTickMark val="none"/>
        <c:tickLblPos val="nextTo"/>
        <c:crossAx val="1906984783"/>
        <c:crosses val="autoZero"/>
        <c:crossBetween val="between"/>
      </c:valAx>
      <c:spPr>
        <a:noFill/>
        <a:ln>
          <a:noFill/>
        </a:ln>
        <a:effectLst/>
      </c:spPr>
    </c:plotArea>
    <c:legend>
      <c:legendPos val="b"/>
      <c:layout>
        <c:manualLayout>
          <c:xMode val="edge"/>
          <c:yMode val="edge"/>
          <c:x val="0.39169466316710405"/>
          <c:y val="0.83248067949839599"/>
          <c:w val="0.21765711308018715"/>
          <c:h val="0.1675194801773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Artifakt Element Book" panose="020B0503050000020004" pitchFamily="34" charset="0"/>
                <a:ea typeface="Artifakt Element Book" panose="020B0503050000020004" pitchFamily="34" charset="0"/>
              </a:rPr>
              <a:t>Amount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a:gsLst>
                <a:gs pos="100000">
                  <a:schemeClr val="accent2">
                    <a:lumMod val="75000"/>
                  </a:schemeClr>
                </a:gs>
                <a:gs pos="0">
                  <a:srgbClr val="E8A8E6"/>
                </a:gs>
                <a:gs pos="0">
                  <a:schemeClr val="accent1">
                    <a:lumMod val="5000"/>
                    <a:lumOff val="95000"/>
                  </a:schemeClr>
                </a:gs>
                <a:gs pos="100000">
                  <a:srgbClr val="A755A5"/>
                </a:gs>
                <a:gs pos="100000">
                  <a:schemeClr val="accent1">
                    <a:lumMod val="75000"/>
                  </a:schemeClr>
                </a:gs>
                <a:gs pos="17000">
                  <a:schemeClr val="accent3">
                    <a:lumMod val="60000"/>
                    <a:lumOff val="40000"/>
                  </a:schemeClr>
                </a:gs>
                <a:gs pos="82000">
                  <a:schemeClr val="accent3">
                    <a:lumMod val="75000"/>
                  </a:schemeClr>
                </a:gs>
                <a:gs pos="100000">
                  <a:schemeClr val="accent3">
                    <a:lumMod val="60000"/>
                    <a:lumOff val="40000"/>
                  </a:schemeClr>
                </a:gs>
              </a:gsLst>
              <a:lin ang="5400000" scaled="1"/>
            </a:gradFill>
            <a:ln>
              <a:noFill/>
            </a:ln>
            <a:effectLst>
              <a:outerShdw blurRad="50800" dist="50800" dir="5400000" algn="ctr" rotWithShape="0">
                <a:schemeClr val="bg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Pivot!$E$59:$E$63</c:f>
              <c:strCache>
                <c:ptCount val="5"/>
                <c:pt idx="0">
                  <c:v>R01</c:v>
                </c:pt>
                <c:pt idx="1">
                  <c:v>R02</c:v>
                </c:pt>
                <c:pt idx="2">
                  <c:v>R03</c:v>
                </c:pt>
                <c:pt idx="3">
                  <c:v>R04</c:v>
                </c:pt>
                <c:pt idx="4">
                  <c:v>R05</c:v>
                </c:pt>
              </c:strCache>
            </c:strRef>
          </c:cat>
          <c:val>
            <c:numRef>
              <c:f>Pivot!$F$59:$F$63</c:f>
              <c:numCache>
                <c:formatCode>"₹"\ #,##0;#,##0\ \-"₹";"₹"\ #,##0</c:formatCode>
                <c:ptCount val="5"/>
                <c:pt idx="0" formatCode="&quot;₹&quot;\ #,###.0,\k">
                  <c:v>18415</c:v>
                </c:pt>
                <c:pt idx="1">
                  <c:v>20581</c:v>
                </c:pt>
                <c:pt idx="2" formatCode="&quot;₹&quot;\ #,###.0,\k">
                  <c:v>20872</c:v>
                </c:pt>
                <c:pt idx="3" formatCode="&quot;₹&quot;\ #,###.0,\k">
                  <c:v>16651</c:v>
                </c:pt>
                <c:pt idx="4" formatCode="&quot;₹&quot;\ #,###.0,\k">
                  <c:v>20104</c:v>
                </c:pt>
              </c:numCache>
            </c:numRef>
          </c:val>
          <c:extLst>
            <c:ext xmlns:c16="http://schemas.microsoft.com/office/drawing/2014/chart" uri="{C3380CC4-5D6E-409C-BE32-E72D297353CC}">
              <c16:uniqueId val="{00000000-3108-45A9-9CF8-B8997FBBEF6F}"/>
            </c:ext>
          </c:extLst>
        </c:ser>
        <c:ser>
          <c:idx val="1"/>
          <c:order val="1"/>
          <c:tx>
            <c:strRef>
              <c:f>Pivot!$I$58</c:f>
              <c:strCache>
                <c:ptCount val="1"/>
                <c:pt idx="0">
                  <c:v>Sel.Amount</c:v>
                </c:pt>
              </c:strCache>
            </c:strRef>
          </c:tx>
          <c:spPr>
            <a:gradFill>
              <a:gsLst>
                <a:gs pos="100000">
                  <a:schemeClr val="accent2">
                    <a:lumMod val="75000"/>
                  </a:schemeClr>
                </a:gs>
                <a:gs pos="0">
                  <a:srgbClr val="E8A8E6"/>
                </a:gs>
                <a:gs pos="0">
                  <a:srgbClr val="FBDCC9"/>
                </a:gs>
                <a:gs pos="100000">
                  <a:srgbClr val="A755A5"/>
                </a:gs>
                <a:gs pos="100000">
                  <a:schemeClr val="accent1">
                    <a:lumMod val="75000"/>
                  </a:schemeClr>
                </a:gs>
                <a:gs pos="17000">
                  <a:srgbClr val="FAB7B0"/>
                </a:gs>
                <a:gs pos="86706">
                  <a:srgbClr val="F23D0C"/>
                </a:gs>
                <a:gs pos="54000">
                  <a:srgbClr val="FF0000"/>
                </a:gs>
                <a:gs pos="100000">
                  <a:srgbClr val="F4666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Pivot!$I$59:$I$63</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3108-45A9-9CF8-B8997FBBEF6F}"/>
            </c:ext>
          </c:extLst>
        </c:ser>
        <c:dLbls>
          <c:dLblPos val="outEnd"/>
          <c:showLegendKey val="0"/>
          <c:showVal val="1"/>
          <c:showCatName val="0"/>
          <c:showSerName val="0"/>
          <c:showPercent val="0"/>
          <c:showBubbleSize val="0"/>
        </c:dLbls>
        <c:gapWidth val="81"/>
        <c:overlap val="100"/>
        <c:axId val="716463775"/>
        <c:axId val="716469183"/>
      </c:barChart>
      <c:catAx>
        <c:axId val="716463775"/>
        <c:scaling>
          <c:orientation val="minMax"/>
        </c:scaling>
        <c:delete val="1"/>
        <c:axPos val="l"/>
        <c:numFmt formatCode="General" sourceLinked="1"/>
        <c:majorTickMark val="none"/>
        <c:minorTickMark val="none"/>
        <c:tickLblPos val="nextTo"/>
        <c:crossAx val="716469183"/>
        <c:crosses val="autoZero"/>
        <c:auto val="1"/>
        <c:lblAlgn val="ctr"/>
        <c:lblOffset val="100"/>
        <c:noMultiLvlLbl val="0"/>
      </c:catAx>
      <c:valAx>
        <c:axId val="716469183"/>
        <c:scaling>
          <c:orientation val="minMax"/>
        </c:scaling>
        <c:delete val="1"/>
        <c:axPos val="b"/>
        <c:numFmt formatCode="&quot;₹&quot;\ #,###.0,\k" sourceLinked="1"/>
        <c:majorTickMark val="none"/>
        <c:minorTickMark val="none"/>
        <c:tickLblPos val="nextTo"/>
        <c:crossAx val="716463775"/>
        <c:crosses val="autoZero"/>
        <c:crossBetween val="between"/>
      </c:valAx>
      <c:spPr>
        <a:solidFill>
          <a:schemeClr val="bg1"/>
        </a:solidFill>
        <a:ln>
          <a:gradFill>
            <a:gsLst>
              <a:gs pos="15000">
                <a:schemeClr val="bg1"/>
              </a:gs>
              <a:gs pos="38000">
                <a:srgbClr val="E8A8E6"/>
              </a:gs>
              <a:gs pos="0">
                <a:schemeClr val="accent1">
                  <a:lumMod val="5000"/>
                  <a:lumOff val="95000"/>
                </a:schemeClr>
              </a:gs>
              <a:gs pos="38000">
                <a:srgbClr val="E397E1"/>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chemeClr val="bg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Call Data.xlsx]Pivot!rep satisfaction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layout>
        <c:manualLayout>
          <c:xMode val="edge"/>
          <c:yMode val="edge"/>
          <c:x val="0.44307279413450207"/>
          <c:y val="5.684662830666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Pivot!$A$95:$A$100</c:f>
              <c:strCache>
                <c:ptCount val="5"/>
                <c:pt idx="0">
                  <c:v>1</c:v>
                </c:pt>
                <c:pt idx="1">
                  <c:v>2</c:v>
                </c:pt>
                <c:pt idx="2">
                  <c:v>3</c:v>
                </c:pt>
                <c:pt idx="3">
                  <c:v>4</c:v>
                </c:pt>
                <c:pt idx="4">
                  <c:v>5</c:v>
                </c:pt>
              </c:strCache>
            </c:strRef>
          </c:cat>
          <c:val>
            <c:numRef>
              <c:f>Pivot!$B$95:$B$100</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C665-46F1-9B20-A2BA47DCF303}"/>
            </c:ext>
          </c:extLst>
        </c:ser>
        <c:dLbls>
          <c:dLblPos val="outEnd"/>
          <c:showLegendKey val="0"/>
          <c:showVal val="1"/>
          <c:showCatName val="0"/>
          <c:showSerName val="0"/>
          <c:showPercent val="0"/>
          <c:showBubbleSize val="0"/>
        </c:dLbls>
        <c:gapWidth val="10"/>
        <c:axId val="1906963151"/>
        <c:axId val="1906973967"/>
      </c:barChart>
      <c:catAx>
        <c:axId val="1906963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73967"/>
        <c:crosses val="autoZero"/>
        <c:auto val="1"/>
        <c:lblAlgn val="ctr"/>
        <c:lblOffset val="100"/>
        <c:noMultiLvlLbl val="0"/>
      </c:catAx>
      <c:valAx>
        <c:axId val="1906973967"/>
        <c:scaling>
          <c:orientation val="minMax"/>
        </c:scaling>
        <c:delete val="1"/>
        <c:axPos val="l"/>
        <c:numFmt formatCode="#,##0" sourceLinked="1"/>
        <c:majorTickMark val="out"/>
        <c:minorTickMark val="none"/>
        <c:tickLblPos val="nextTo"/>
        <c:crossAx val="190696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Call Data.xlsx]Pivot!Monthly calls</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solidFill>
                  <a:schemeClr val="tx2">
                    <a:lumMod val="75000"/>
                  </a:schemeClr>
                </a:solidFill>
              </a:rPr>
              <a:t>Monthly calls</a:t>
            </a:r>
          </a:p>
        </c:rich>
      </c:tx>
      <c:layout>
        <c:manualLayout>
          <c:xMode val="edge"/>
          <c:yMode val="edge"/>
          <c:x val="4.6895679548486342E-2"/>
          <c:y val="2.067183462532299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7983">
                <a:srgbClr val="E9AEE8"/>
              </a:gs>
              <a:gs pos="47804">
                <a:srgbClr val="E499E2"/>
              </a:gs>
              <a:gs pos="100000">
                <a:schemeClr val="accent1">
                  <a:lumMod val="5000"/>
                  <a:lumOff val="95000"/>
                </a:schemeClr>
              </a:gs>
              <a:gs pos="74000">
                <a:schemeClr val="accent1">
                  <a:lumMod val="45000"/>
                  <a:lumOff val="55000"/>
                </a:schemeClr>
              </a:gs>
              <a:gs pos="83000">
                <a:schemeClr val="accent1">
                  <a:lumMod val="45000"/>
                  <a:lumOff val="55000"/>
                </a:schemeClr>
              </a:gs>
              <a:gs pos="0">
                <a:schemeClr val="accent1">
                  <a:lumMod val="30000"/>
                  <a:lumOff val="70000"/>
                </a:schemeClr>
              </a:gs>
            </a:gsLst>
            <a:lin ang="5400000" scaled="1"/>
          </a:gra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Pivot!$C$22</c:f>
              <c:strCache>
                <c:ptCount val="1"/>
                <c:pt idx="0">
                  <c:v>No.of calls2</c:v>
                </c:pt>
              </c:strCache>
            </c:strRef>
          </c:tx>
          <c:spPr>
            <a:gradFill>
              <a:gsLst>
                <a:gs pos="7983">
                  <a:srgbClr val="E9AEE8"/>
                </a:gs>
                <a:gs pos="47804">
                  <a:srgbClr val="E499E2"/>
                </a:gs>
                <a:gs pos="100000">
                  <a:schemeClr val="accent1">
                    <a:lumMod val="5000"/>
                    <a:lumOff val="95000"/>
                  </a:schemeClr>
                </a:gs>
                <a:gs pos="74000">
                  <a:schemeClr val="accent1">
                    <a:lumMod val="45000"/>
                    <a:lumOff val="55000"/>
                  </a:schemeClr>
                </a:gs>
                <a:gs pos="83000">
                  <a:schemeClr val="accent1">
                    <a:lumMod val="45000"/>
                    <a:lumOff val="55000"/>
                  </a:schemeClr>
                </a:gs>
                <a:gs pos="0">
                  <a:schemeClr val="accent1">
                    <a:lumMod val="30000"/>
                    <a:lumOff val="70000"/>
                  </a:schemeClr>
                </a:gs>
              </a:gsLst>
              <a:lin ang="5400000" scaled="1"/>
            </a:gradFill>
            <a:ln>
              <a:noFill/>
            </a:ln>
            <a:effectLst>
              <a:innerShdw blurRad="114300">
                <a:schemeClr val="accent2"/>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Pivot!$C$23:$C$35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DC5D-412A-A748-4C23E7C2BAFB}"/>
            </c:ext>
          </c:extLst>
        </c:ser>
        <c:dLbls>
          <c:showLegendKey val="0"/>
          <c:showVal val="0"/>
          <c:showCatName val="0"/>
          <c:showSerName val="0"/>
          <c:showPercent val="0"/>
          <c:showBubbleSize val="0"/>
        </c:dLbls>
        <c:axId val="253210751"/>
        <c:axId val="253197023"/>
      </c:areaChart>
      <c:lineChart>
        <c:grouping val="standard"/>
        <c:varyColors val="0"/>
        <c:ser>
          <c:idx val="0"/>
          <c:order val="0"/>
          <c:tx>
            <c:strRef>
              <c:f>Pivot!$B$22</c:f>
              <c:strCache>
                <c:ptCount val="1"/>
                <c:pt idx="0">
                  <c:v>No.of calls</c:v>
                </c:pt>
              </c:strCache>
            </c:strRef>
          </c:tx>
          <c:spPr>
            <a:ln w="28575" cap="rnd">
              <a:solidFill>
                <a:schemeClr val="accent1"/>
              </a:solidFill>
              <a:round/>
            </a:ln>
            <a:effectLst/>
          </c:spPr>
          <c:marker>
            <c:symbol val="circle"/>
            <c:size val="6"/>
            <c:spPr>
              <a:solidFill>
                <a:schemeClr val="accent1"/>
              </a:solidFill>
              <a:ln>
                <a:noFill/>
              </a:ln>
              <a:effectLst/>
            </c:spPr>
          </c:marker>
          <c:cat>
            <c:strRef>
              <c:f>Pivot!$A$23:$A$35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Pivot!$B$23:$B$35</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DC5D-412A-A748-4C23E7C2BAFB}"/>
            </c:ext>
          </c:extLst>
        </c:ser>
        <c:dLbls>
          <c:showLegendKey val="0"/>
          <c:showVal val="0"/>
          <c:showCatName val="0"/>
          <c:showSerName val="0"/>
          <c:showPercent val="0"/>
          <c:showBubbleSize val="0"/>
        </c:dLbls>
        <c:marker val="1"/>
        <c:smooth val="0"/>
        <c:axId val="253210751"/>
        <c:axId val="253197023"/>
      </c:lineChart>
      <c:catAx>
        <c:axId val="253210751"/>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97023"/>
        <c:crosses val="autoZero"/>
        <c:auto val="1"/>
        <c:lblAlgn val="ctr"/>
        <c:lblOffset val="100"/>
        <c:noMultiLvlLbl val="0"/>
      </c:catAx>
      <c:valAx>
        <c:axId val="253197023"/>
        <c:scaling>
          <c:orientation val="minMax"/>
        </c:scaling>
        <c:delete val="1"/>
        <c:axPos val="l"/>
        <c:majorGridlines>
          <c:spPr>
            <a:ln>
              <a:solidFill>
                <a:schemeClr val="tx1">
                  <a:lumMod val="15000"/>
                  <a:lumOff val="85000"/>
                </a:schemeClr>
              </a:solidFill>
            </a:ln>
            <a:effectLst/>
          </c:spPr>
        </c:majorGridlines>
        <c:numFmt formatCode="#,##0" sourceLinked="1"/>
        <c:majorTickMark val="none"/>
        <c:minorTickMark val="none"/>
        <c:tickLblPos val="nextTo"/>
        <c:crossAx val="25321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Call Data.xlsx]Pivot!Week day calls</c:name>
    <c:fmtId val="2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1">
                    <a:lumMod val="60000"/>
                    <a:lumOff val="40000"/>
                  </a:schemeClr>
                </a:solidFill>
              </a:rPr>
              <a:t>Week day calls</a:t>
            </a:r>
          </a:p>
        </c:rich>
      </c:tx>
      <c:layout>
        <c:manualLayout>
          <c:xMode val="edge"/>
          <c:yMode val="edge"/>
          <c:x val="0.47942432081659342"/>
          <c:y val="1.326700527128414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4856086053000999E-2"/>
              <c:y val="-4.6434518449494616E-2"/>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5682581590034E-2"/>
          <c:y val="0.30865687763642558"/>
          <c:w val="0.76822019994888102"/>
          <c:h val="0.66480911182100622"/>
        </c:manualLayout>
      </c:layout>
      <c:bar3DChart>
        <c:barDir val="col"/>
        <c:grouping val="stacked"/>
        <c:varyColors val="0"/>
        <c:ser>
          <c:idx val="0"/>
          <c:order val="0"/>
          <c:tx>
            <c:strRef>
              <c:f>Pivot!$B$43</c:f>
              <c:strCache>
                <c:ptCount val="1"/>
                <c:pt idx="0">
                  <c:v>Total</c:v>
                </c:pt>
              </c:strCache>
            </c:strRef>
          </c:tx>
          <c:spPr>
            <a:solidFill>
              <a:schemeClr val="accent1"/>
            </a:solidFill>
            <a:ln>
              <a:noFill/>
            </a:ln>
            <a:effectLst/>
            <a:sp3d/>
          </c:spPr>
          <c:invertIfNegative val="0"/>
          <c:dPt>
            <c:idx val="6"/>
            <c:invertIfNegative val="0"/>
            <c:bubble3D val="0"/>
            <c:extLst>
              <c:ext xmlns:c16="http://schemas.microsoft.com/office/drawing/2014/chart" uri="{C3380CC4-5D6E-409C-BE32-E72D297353CC}">
                <c16:uniqueId val="{00000001-19D8-4559-A0EE-CBDA59D79460}"/>
              </c:ext>
            </c:extLst>
          </c:dPt>
          <c:dLbls>
            <c:dLbl>
              <c:idx val="6"/>
              <c:layout>
                <c:manualLayout>
                  <c:x val="1.4856086053000999E-2"/>
                  <c:y val="-4.6434518449494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D8-4559-A0EE-CBDA59D79460}"/>
                </c:ext>
              </c:extLst>
            </c:dLbl>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Pivot!$A$44:$A$51</c:f>
              <c:strCache>
                <c:ptCount val="7"/>
                <c:pt idx="0">
                  <c:v>Monday</c:v>
                </c:pt>
                <c:pt idx="1">
                  <c:v>Tuesday</c:v>
                </c:pt>
                <c:pt idx="2">
                  <c:v>Wednesday</c:v>
                </c:pt>
                <c:pt idx="3">
                  <c:v>Thursday</c:v>
                </c:pt>
                <c:pt idx="4">
                  <c:v>Friday</c:v>
                </c:pt>
                <c:pt idx="5">
                  <c:v>Saturday</c:v>
                </c:pt>
                <c:pt idx="6">
                  <c:v>Sunday</c:v>
                </c:pt>
              </c:strCache>
            </c:strRef>
          </c:cat>
          <c:val>
            <c:numRef>
              <c:f>Pivot!$B$44:$B$51</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D2C6-436E-8184-0F1FA36D22B1}"/>
            </c:ext>
          </c:extLst>
        </c:ser>
        <c:dLbls>
          <c:showLegendKey val="0"/>
          <c:showVal val="1"/>
          <c:showCatName val="0"/>
          <c:showSerName val="0"/>
          <c:showPercent val="0"/>
          <c:showBubbleSize val="0"/>
        </c:dLbls>
        <c:gapWidth val="79"/>
        <c:shape val="cylinder"/>
        <c:axId val="718697487"/>
        <c:axId val="718689583"/>
        <c:axId val="0"/>
      </c:bar3DChart>
      <c:catAx>
        <c:axId val="718697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glow>
              <a:schemeClr val="accent1">
                <a:alpha val="57000"/>
              </a:schemeClr>
            </a:glow>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18689583"/>
        <c:crosses val="autoZero"/>
        <c:auto val="1"/>
        <c:lblAlgn val="ctr"/>
        <c:lblOffset val="100"/>
        <c:noMultiLvlLbl val="0"/>
      </c:catAx>
      <c:valAx>
        <c:axId val="718689583"/>
        <c:scaling>
          <c:orientation val="minMax"/>
        </c:scaling>
        <c:delete val="1"/>
        <c:axPos val="l"/>
        <c:numFmt formatCode="#,##0" sourceLinked="1"/>
        <c:majorTickMark val="out"/>
        <c:minorTickMark val="none"/>
        <c:tickLblPos val="nextTo"/>
        <c:crossAx val="7186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latin typeface="Artifakt Element Book" panose="020B0503050000020004" pitchFamily="34" charset="0"/>
                <a:ea typeface="Artifakt Element Book" panose="020B0503050000020004" pitchFamily="34" charset="0"/>
              </a:rPr>
              <a:t>Amount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a:gsLst>
                <a:gs pos="100000">
                  <a:schemeClr val="accent2">
                    <a:lumMod val="75000"/>
                  </a:schemeClr>
                </a:gs>
                <a:gs pos="0">
                  <a:srgbClr val="E8A8E6"/>
                </a:gs>
                <a:gs pos="0">
                  <a:schemeClr val="accent1">
                    <a:lumMod val="5000"/>
                    <a:lumOff val="95000"/>
                  </a:schemeClr>
                </a:gs>
                <a:gs pos="100000">
                  <a:srgbClr val="A755A5"/>
                </a:gs>
                <a:gs pos="100000">
                  <a:schemeClr val="accent1">
                    <a:lumMod val="75000"/>
                  </a:schemeClr>
                </a:gs>
                <a:gs pos="17000">
                  <a:schemeClr val="accent3">
                    <a:lumMod val="60000"/>
                    <a:lumOff val="40000"/>
                  </a:schemeClr>
                </a:gs>
                <a:gs pos="82000">
                  <a:schemeClr val="accent3">
                    <a:lumMod val="75000"/>
                  </a:schemeClr>
                </a:gs>
                <a:gs pos="100000">
                  <a:schemeClr val="accent3">
                    <a:lumMod val="60000"/>
                    <a:lumOff val="40000"/>
                  </a:schemeClr>
                </a:gs>
              </a:gsLst>
              <a:lin ang="5400000" scaled="1"/>
            </a:gradFill>
            <a:ln>
              <a:noFill/>
            </a:ln>
            <a:effectLst>
              <a:outerShdw blurRad="50800" dist="50800" dir="5400000" algn="ctr" rotWithShape="0">
                <a:schemeClr val="bg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Pivot!$E$59:$E$63</c:f>
              <c:strCache>
                <c:ptCount val="5"/>
                <c:pt idx="0">
                  <c:v>R01</c:v>
                </c:pt>
                <c:pt idx="1">
                  <c:v>R02</c:v>
                </c:pt>
                <c:pt idx="2">
                  <c:v>R03</c:v>
                </c:pt>
                <c:pt idx="3">
                  <c:v>R04</c:v>
                </c:pt>
                <c:pt idx="4">
                  <c:v>R05</c:v>
                </c:pt>
              </c:strCache>
            </c:strRef>
          </c:cat>
          <c:val>
            <c:numRef>
              <c:f>Pivot!$F$59:$F$63</c:f>
              <c:numCache>
                <c:formatCode>"₹"\ #,##0;#,##0\ \-"₹";"₹"\ #,##0</c:formatCode>
                <c:ptCount val="5"/>
                <c:pt idx="0" formatCode="&quot;₹&quot;\ #,###.0,\k">
                  <c:v>18415</c:v>
                </c:pt>
                <c:pt idx="1">
                  <c:v>20581</c:v>
                </c:pt>
                <c:pt idx="2" formatCode="&quot;₹&quot;\ #,###.0,\k">
                  <c:v>20872</c:v>
                </c:pt>
                <c:pt idx="3" formatCode="&quot;₹&quot;\ #,###.0,\k">
                  <c:v>16651</c:v>
                </c:pt>
                <c:pt idx="4" formatCode="&quot;₹&quot;\ #,###.0,\k">
                  <c:v>20104</c:v>
                </c:pt>
              </c:numCache>
            </c:numRef>
          </c:val>
          <c:extLst>
            <c:ext xmlns:c16="http://schemas.microsoft.com/office/drawing/2014/chart" uri="{C3380CC4-5D6E-409C-BE32-E72D297353CC}">
              <c16:uniqueId val="{00000000-7134-4B21-B4A1-B22306BF396C}"/>
            </c:ext>
          </c:extLst>
        </c:ser>
        <c:ser>
          <c:idx val="1"/>
          <c:order val="1"/>
          <c:tx>
            <c:strRef>
              <c:f>Pivot!$I$58</c:f>
              <c:strCache>
                <c:ptCount val="1"/>
                <c:pt idx="0">
                  <c:v>Sel.Amount</c:v>
                </c:pt>
              </c:strCache>
            </c:strRef>
          </c:tx>
          <c:spPr>
            <a:gradFill>
              <a:gsLst>
                <a:gs pos="100000">
                  <a:schemeClr val="accent2">
                    <a:lumMod val="75000"/>
                  </a:schemeClr>
                </a:gs>
                <a:gs pos="0">
                  <a:srgbClr val="E8A8E6"/>
                </a:gs>
                <a:gs pos="0">
                  <a:srgbClr val="FBDCC9"/>
                </a:gs>
                <a:gs pos="100000">
                  <a:srgbClr val="A755A5"/>
                </a:gs>
                <a:gs pos="100000">
                  <a:schemeClr val="accent1">
                    <a:lumMod val="75000"/>
                  </a:schemeClr>
                </a:gs>
                <a:gs pos="17000">
                  <a:srgbClr val="FAB7B0"/>
                </a:gs>
                <a:gs pos="86706">
                  <a:srgbClr val="F23D0C"/>
                </a:gs>
                <a:gs pos="54000">
                  <a:srgbClr val="FF0000"/>
                </a:gs>
                <a:gs pos="100000">
                  <a:srgbClr val="F4666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Pivot!$I$59:$I$63</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7134-4B21-B4A1-B22306BF396C}"/>
            </c:ext>
          </c:extLst>
        </c:ser>
        <c:dLbls>
          <c:dLblPos val="outEnd"/>
          <c:showLegendKey val="0"/>
          <c:showVal val="1"/>
          <c:showCatName val="0"/>
          <c:showSerName val="0"/>
          <c:showPercent val="0"/>
          <c:showBubbleSize val="0"/>
        </c:dLbls>
        <c:gapWidth val="81"/>
        <c:overlap val="100"/>
        <c:axId val="716463775"/>
        <c:axId val="716469183"/>
      </c:barChart>
      <c:catAx>
        <c:axId val="716463775"/>
        <c:scaling>
          <c:orientation val="minMax"/>
        </c:scaling>
        <c:delete val="1"/>
        <c:axPos val="l"/>
        <c:numFmt formatCode="General" sourceLinked="1"/>
        <c:majorTickMark val="none"/>
        <c:minorTickMark val="none"/>
        <c:tickLblPos val="nextTo"/>
        <c:crossAx val="716469183"/>
        <c:crosses val="autoZero"/>
        <c:auto val="1"/>
        <c:lblAlgn val="ctr"/>
        <c:lblOffset val="100"/>
        <c:noMultiLvlLbl val="0"/>
      </c:catAx>
      <c:valAx>
        <c:axId val="716469183"/>
        <c:scaling>
          <c:orientation val="minMax"/>
        </c:scaling>
        <c:delete val="1"/>
        <c:axPos val="b"/>
        <c:numFmt formatCode="&quot;₹&quot;\ #,###.0,\k" sourceLinked="1"/>
        <c:majorTickMark val="none"/>
        <c:minorTickMark val="none"/>
        <c:tickLblPos val="nextTo"/>
        <c:crossAx val="716463775"/>
        <c:crosses val="autoZero"/>
        <c:crossBetween val="between"/>
      </c:valAx>
      <c:spPr>
        <a:solidFill>
          <a:schemeClr val="bg1"/>
        </a:solidFill>
        <a:ln>
          <a:gradFill>
            <a:gsLst>
              <a:gs pos="15000">
                <a:schemeClr val="bg1"/>
              </a:gs>
              <a:gs pos="38000">
                <a:srgbClr val="E8A8E6"/>
              </a:gs>
              <a:gs pos="0">
                <a:schemeClr val="accent1">
                  <a:lumMod val="5000"/>
                  <a:lumOff val="95000"/>
                </a:schemeClr>
              </a:gs>
              <a:gs pos="38000">
                <a:srgbClr val="E397E1"/>
              </a:gs>
              <a:gs pos="72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chemeClr val="bg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a:solidFill>
                  <a:srgbClr val="F4520A"/>
                </a:solidFill>
                <a:latin typeface="Artifakt Element Book" panose="020B0503050000020004" pitchFamily="34" charset="0"/>
                <a:ea typeface="Artifakt Element Book" panose="020B0503050000020004" pitchFamily="34" charset="0"/>
              </a:rPr>
              <a:t>No.of Calls</a:t>
            </a:r>
          </a:p>
        </c:rich>
      </c:tx>
      <c:overlay val="0"/>
      <c:spPr>
        <a:noFill/>
        <a:ln w="0">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5.9668950049974405E-2"/>
          <c:y val="0.37748435291742377"/>
          <c:w val="0.84035231664061327"/>
          <c:h val="0.47627716211787008"/>
        </c:manualLayout>
      </c:layout>
      <c:barChart>
        <c:barDir val="col"/>
        <c:grouping val="clustered"/>
        <c:varyColors val="0"/>
        <c:ser>
          <c:idx val="0"/>
          <c:order val="0"/>
          <c:tx>
            <c:strRef>
              <c:f>Pivot!$G$58</c:f>
              <c:strCache>
                <c:ptCount val="1"/>
                <c:pt idx="0">
                  <c:v>Calls</c:v>
                </c:pt>
              </c:strCache>
            </c:strRef>
          </c:tx>
          <c:spPr>
            <a:gradFill>
              <a:gsLst>
                <a:gs pos="100000">
                  <a:srgbClr val="F0C7EF"/>
                </a:gs>
                <a:gs pos="0">
                  <a:srgbClr val="E8A8E6"/>
                </a:gs>
                <a:gs pos="0">
                  <a:schemeClr val="accent1">
                    <a:lumMod val="5000"/>
                    <a:lumOff val="95000"/>
                  </a:schemeClr>
                </a:gs>
                <a:gs pos="100000">
                  <a:srgbClr val="A755A5"/>
                </a:gs>
                <a:gs pos="100000">
                  <a:schemeClr val="accent1">
                    <a:lumMod val="75000"/>
                  </a:schemeClr>
                </a:gs>
                <a:gs pos="0">
                  <a:schemeClr val="accent1">
                    <a:lumMod val="45000"/>
                    <a:lumOff val="55000"/>
                  </a:schemeClr>
                </a:gs>
                <a:gs pos="96000">
                  <a:schemeClr val="accent1">
                    <a:lumMod val="75000"/>
                  </a:schemeClr>
                </a:gs>
                <a:gs pos="100000">
                  <a:schemeClr val="accent1">
                    <a:lumMod val="30000"/>
                    <a:lumOff val="70000"/>
                  </a:schemeClr>
                </a:gs>
              </a:gsLst>
              <a:lin ang="5400000" scaled="1"/>
            </a:gradFill>
            <a:ln>
              <a:solidFill>
                <a:schemeClr val="tx1">
                  <a:lumMod val="15000"/>
                  <a:lumOff val="85000"/>
                </a:schemeClr>
              </a:solidFill>
            </a:ln>
            <a:effectLst>
              <a:glow rad="127000">
                <a:schemeClr val="accent1">
                  <a:alpha val="0"/>
                </a:schemeClr>
              </a:glow>
              <a:outerShdw blurRad="50800" dist="50800" dir="5400000" sx="1000" sy="1000" algn="ctr" rotWithShape="0">
                <a:srgbClr val="000000">
                  <a:alpha val="43137"/>
                </a:srgbClr>
              </a:outerShd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Pivot!$E$59:$E$63</c:f>
              <c:strCache>
                <c:ptCount val="5"/>
                <c:pt idx="0">
                  <c:v>R01</c:v>
                </c:pt>
                <c:pt idx="1">
                  <c:v>R02</c:v>
                </c:pt>
                <c:pt idx="2">
                  <c:v>R03</c:v>
                </c:pt>
                <c:pt idx="3">
                  <c:v>R04</c:v>
                </c:pt>
                <c:pt idx="4">
                  <c:v>R05</c:v>
                </c:pt>
              </c:strCache>
            </c:strRef>
          </c:cat>
          <c:val>
            <c:numRef>
              <c:f>Pivot!$G$59:$G$63</c:f>
              <c:numCache>
                <c:formatCode>#,##0</c:formatCode>
                <c:ptCount val="5"/>
                <c:pt idx="0" formatCode="General">
                  <c:v>189</c:v>
                </c:pt>
                <c:pt idx="1">
                  <c:v>218</c:v>
                </c:pt>
                <c:pt idx="2" formatCode="General">
                  <c:v>207</c:v>
                </c:pt>
                <c:pt idx="3" formatCode="General">
                  <c:v>186</c:v>
                </c:pt>
                <c:pt idx="4" formatCode="General">
                  <c:v>200</c:v>
                </c:pt>
              </c:numCache>
            </c:numRef>
          </c:val>
          <c:extLst>
            <c:ext xmlns:c16="http://schemas.microsoft.com/office/drawing/2014/chart" uri="{C3380CC4-5D6E-409C-BE32-E72D297353CC}">
              <c16:uniqueId val="{00000000-3C3F-41CE-B667-9D137BCF668D}"/>
            </c:ext>
          </c:extLst>
        </c:ser>
        <c:ser>
          <c:idx val="1"/>
          <c:order val="1"/>
          <c:tx>
            <c:strRef>
              <c:f>Pivot!$H$58</c:f>
              <c:strCache>
                <c:ptCount val="1"/>
                <c:pt idx="0">
                  <c:v>Sel.Calls</c:v>
                </c:pt>
              </c:strCache>
            </c:strRef>
          </c:tx>
          <c:spPr>
            <a:gradFill>
              <a:gsLst>
                <a:gs pos="100000">
                  <a:srgbClr val="EB8F15"/>
                </a:gs>
                <a:gs pos="0">
                  <a:srgbClr val="E8A8E6"/>
                </a:gs>
                <a:gs pos="0">
                  <a:srgbClr val="F7BD8D"/>
                </a:gs>
                <a:gs pos="100000">
                  <a:srgbClr val="A755A5"/>
                </a:gs>
                <a:gs pos="100000">
                  <a:srgbClr val="F4520A"/>
                </a:gs>
                <a:gs pos="33000">
                  <a:srgbClr val="F99061"/>
                </a:gs>
                <a:gs pos="82000">
                  <a:srgbClr val="F4520A"/>
                </a:gs>
                <a:gs pos="0">
                  <a:srgbClr val="F7BD8D"/>
                </a:gs>
              </a:gsLst>
              <a:lin ang="5400000" scaled="1"/>
            </a:gradFill>
            <a:ln>
              <a:noFill/>
            </a:ln>
            <a:effectLst>
              <a:innerShdw blurRad="114300">
                <a:schemeClr val="accent2">
                  <a:tint val="77000"/>
                </a:schemeClr>
              </a:innerShdw>
            </a:effectLst>
          </c:spPr>
          <c:invertIfNegative val="0"/>
          <c:val>
            <c:numRef>
              <c:f>Pivot!$H$59:$H$63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3C3F-41CE-B667-9D137BCF668D}"/>
            </c:ext>
          </c:extLst>
        </c:ser>
        <c:dLbls>
          <c:showLegendKey val="0"/>
          <c:showVal val="0"/>
          <c:showCatName val="0"/>
          <c:showSerName val="0"/>
          <c:showPercent val="0"/>
          <c:showBubbleSize val="0"/>
        </c:dLbls>
        <c:gapWidth val="150"/>
        <c:overlap val="100"/>
        <c:axId val="716463775"/>
        <c:axId val="716469183"/>
      </c:barChart>
      <c:catAx>
        <c:axId val="71646377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716469183"/>
        <c:crosses val="autoZero"/>
        <c:auto val="1"/>
        <c:lblAlgn val="ctr"/>
        <c:lblOffset val="100"/>
        <c:noMultiLvlLbl val="0"/>
      </c:catAx>
      <c:valAx>
        <c:axId val="716469183"/>
        <c:scaling>
          <c:orientation val="minMax"/>
        </c:scaling>
        <c:delete val="1"/>
        <c:axPos val="l"/>
        <c:numFmt formatCode="General" sourceLinked="1"/>
        <c:majorTickMark val="out"/>
        <c:minorTickMark val="none"/>
        <c:tickLblPos val="nextTo"/>
        <c:crossAx val="71646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Call Data.xlsx]Pivot!Female vs Male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3">
                    <a:lumMod val="50000"/>
                  </a:schemeClr>
                </a:solidFill>
              </a:rPr>
              <a:t>Female</a:t>
            </a:r>
            <a:r>
              <a:rPr lang="en-IN" baseline="0">
                <a:solidFill>
                  <a:schemeClr val="accent3">
                    <a:lumMod val="50000"/>
                  </a:schemeClr>
                </a:solidFill>
              </a:rPr>
              <a:t> vs Male callers</a:t>
            </a:r>
            <a:endParaRPr lang="en-IN">
              <a:solidFill>
                <a:schemeClr val="accent3">
                  <a:lumMod val="50000"/>
                </a:schemeClr>
              </a:solidFill>
            </a:endParaRPr>
          </a:p>
        </c:rich>
      </c:tx>
      <c:layout>
        <c:manualLayout>
          <c:xMode val="edge"/>
          <c:yMode val="edge"/>
          <c:x val="0.31753455818022747"/>
          <c:y val="7.2392167045291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22583114610673666"/>
          <c:w val="0.93888888888888888"/>
          <c:h val="0.48536125692621757"/>
        </c:manualLayout>
      </c:layout>
      <c:bar3DChart>
        <c:barDir val="col"/>
        <c:grouping val="percentStacked"/>
        <c:varyColors val="0"/>
        <c:ser>
          <c:idx val="0"/>
          <c:order val="0"/>
          <c:tx>
            <c:strRef>
              <c:f>Pivot!$B$80:$B$81</c:f>
              <c:strCache>
                <c:ptCount val="1"/>
                <c:pt idx="0">
                  <c:v>Female</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Pivot!$A$82:$A$85</c:f>
              <c:strCache>
                <c:ptCount val="3"/>
                <c:pt idx="0">
                  <c:v>Cincinnati</c:v>
                </c:pt>
                <c:pt idx="1">
                  <c:v>Cleveland</c:v>
                </c:pt>
                <c:pt idx="2">
                  <c:v>Columbus</c:v>
                </c:pt>
              </c:strCache>
            </c:strRef>
          </c:cat>
          <c:val>
            <c:numRef>
              <c:f>Pivot!$B$82:$B$85</c:f>
              <c:numCache>
                <c:formatCode>#,##0</c:formatCode>
                <c:ptCount val="3"/>
                <c:pt idx="0">
                  <c:v>144</c:v>
                </c:pt>
                <c:pt idx="1">
                  <c:v>326</c:v>
                </c:pt>
                <c:pt idx="2">
                  <c:v>129</c:v>
                </c:pt>
              </c:numCache>
            </c:numRef>
          </c:val>
          <c:extLst>
            <c:ext xmlns:c16="http://schemas.microsoft.com/office/drawing/2014/chart" uri="{C3380CC4-5D6E-409C-BE32-E72D297353CC}">
              <c16:uniqueId val="{00000000-D117-4227-BD28-A78881F78A0D}"/>
            </c:ext>
          </c:extLst>
        </c:ser>
        <c:ser>
          <c:idx val="1"/>
          <c:order val="1"/>
          <c:tx>
            <c:strRef>
              <c:f>Pivot!$C$80:$C$81</c:f>
              <c:strCache>
                <c:ptCount val="1"/>
                <c:pt idx="0">
                  <c:v>Male</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Pivot!$A$82:$A$85</c:f>
              <c:strCache>
                <c:ptCount val="3"/>
                <c:pt idx="0">
                  <c:v>Cincinnati</c:v>
                </c:pt>
                <c:pt idx="1">
                  <c:v>Cleveland</c:v>
                </c:pt>
                <c:pt idx="2">
                  <c:v>Columbus</c:v>
                </c:pt>
              </c:strCache>
            </c:strRef>
          </c:cat>
          <c:val>
            <c:numRef>
              <c:f>Pivot!$C$82:$C$85</c:f>
              <c:numCache>
                <c:formatCode>#,##0</c:formatCode>
                <c:ptCount val="3"/>
                <c:pt idx="0">
                  <c:v>132</c:v>
                </c:pt>
                <c:pt idx="1">
                  <c:v>63</c:v>
                </c:pt>
                <c:pt idx="2">
                  <c:v>206</c:v>
                </c:pt>
              </c:numCache>
            </c:numRef>
          </c:val>
          <c:extLst>
            <c:ext xmlns:c16="http://schemas.microsoft.com/office/drawing/2014/chart" uri="{C3380CC4-5D6E-409C-BE32-E72D297353CC}">
              <c16:uniqueId val="{00000001-D117-4227-BD28-A78881F78A0D}"/>
            </c:ext>
          </c:extLst>
        </c:ser>
        <c:dLbls>
          <c:showLegendKey val="0"/>
          <c:showVal val="1"/>
          <c:showCatName val="0"/>
          <c:showSerName val="0"/>
          <c:showPercent val="0"/>
          <c:showBubbleSize val="0"/>
        </c:dLbls>
        <c:gapWidth val="150"/>
        <c:shape val="box"/>
        <c:axId val="1906984783"/>
        <c:axId val="1906996015"/>
        <c:axId val="0"/>
      </c:bar3DChart>
      <c:catAx>
        <c:axId val="1906984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96015"/>
        <c:crosses val="autoZero"/>
        <c:auto val="1"/>
        <c:lblAlgn val="ctr"/>
        <c:lblOffset val="100"/>
        <c:noMultiLvlLbl val="0"/>
      </c:catAx>
      <c:valAx>
        <c:axId val="1906996015"/>
        <c:scaling>
          <c:orientation val="minMax"/>
        </c:scaling>
        <c:delete val="1"/>
        <c:axPos val="l"/>
        <c:numFmt formatCode="0%" sourceLinked="1"/>
        <c:majorTickMark val="out"/>
        <c:minorTickMark val="none"/>
        <c:tickLblPos val="nextTo"/>
        <c:crossAx val="1906984783"/>
        <c:crosses val="autoZero"/>
        <c:crossBetween val="between"/>
      </c:valAx>
      <c:spPr>
        <a:noFill/>
        <a:ln>
          <a:noFill/>
        </a:ln>
        <a:effectLst/>
      </c:spPr>
    </c:plotArea>
    <c:legend>
      <c:legendPos val="b"/>
      <c:layout>
        <c:manualLayout>
          <c:xMode val="edge"/>
          <c:yMode val="edge"/>
          <c:x val="0.39169466316710405"/>
          <c:y val="0.83248067949839599"/>
          <c:w val="0.21661067366579179"/>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Call Data.xlsx]Pivot!rep satisfaction</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solidFill>
                  <a:schemeClr val="accent5">
                    <a:lumMod val="50000"/>
                  </a:schemeClr>
                </a:solidFill>
              </a:rPr>
              <a:t>Rating</a:t>
            </a:r>
          </a:p>
        </c:rich>
      </c:tx>
      <c:layout>
        <c:manualLayout>
          <c:xMode val="edge"/>
          <c:yMode val="edge"/>
          <c:x val="0.44307279413450207"/>
          <c:y val="5.68466283066638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Pivot!$B$94</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Pivot!$A$95:$A$100</c:f>
              <c:strCache>
                <c:ptCount val="5"/>
                <c:pt idx="0">
                  <c:v>1</c:v>
                </c:pt>
                <c:pt idx="1">
                  <c:v>2</c:v>
                </c:pt>
                <c:pt idx="2">
                  <c:v>3</c:v>
                </c:pt>
                <c:pt idx="3">
                  <c:v>4</c:v>
                </c:pt>
                <c:pt idx="4">
                  <c:v>5</c:v>
                </c:pt>
              </c:strCache>
            </c:strRef>
          </c:cat>
          <c:val>
            <c:numRef>
              <c:f>Pivot!$B$95:$B$100</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2776-42F8-B729-110F31F67977}"/>
            </c:ext>
          </c:extLst>
        </c:ser>
        <c:dLbls>
          <c:dLblPos val="outEnd"/>
          <c:showLegendKey val="0"/>
          <c:showVal val="1"/>
          <c:showCatName val="0"/>
          <c:showSerName val="0"/>
          <c:showPercent val="0"/>
          <c:showBubbleSize val="0"/>
        </c:dLbls>
        <c:gapWidth val="48"/>
        <c:overlap val="-22"/>
        <c:axId val="1906963151"/>
        <c:axId val="1906973967"/>
      </c:barChart>
      <c:catAx>
        <c:axId val="1906963151"/>
        <c:scaling>
          <c:orientation val="minMax"/>
        </c:scaling>
        <c:delete val="0"/>
        <c:axPos val="b"/>
        <c:numFmt formatCode="#,##0" sourceLinked="0"/>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973967"/>
        <c:crosses val="autoZero"/>
        <c:auto val="1"/>
        <c:lblAlgn val="ctr"/>
        <c:lblOffset val="100"/>
        <c:noMultiLvlLbl val="0"/>
      </c:catAx>
      <c:valAx>
        <c:axId val="1906973967"/>
        <c:scaling>
          <c:orientation val="minMax"/>
        </c:scaling>
        <c:delete val="1"/>
        <c:axPos val="l"/>
        <c:numFmt formatCode="#,##0" sourceLinked="1"/>
        <c:majorTickMark val="none"/>
        <c:minorTickMark val="none"/>
        <c:tickLblPos val="nextTo"/>
        <c:crossAx val="190696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15.svg"/><Relationship Id="rId3" Type="http://schemas.openxmlformats.org/officeDocument/2006/relationships/image" Target="../media/image12.png"/><Relationship Id="rId7" Type="http://schemas.openxmlformats.org/officeDocument/2006/relationships/image" Target="../media/image14.png"/><Relationship Id="rId12" Type="http://schemas.openxmlformats.org/officeDocument/2006/relationships/image" Target="../media/image8.svg"/><Relationship Id="rId2" Type="http://schemas.openxmlformats.org/officeDocument/2006/relationships/image" Target="../media/image10.svg"/><Relationship Id="rId1" Type="http://schemas.openxmlformats.org/officeDocument/2006/relationships/image" Target="../media/image11.png"/><Relationship Id="rId6" Type="http://schemas.openxmlformats.org/officeDocument/2006/relationships/image" Target="../media/image4.svg"/><Relationship Id="rId11" Type="http://schemas.openxmlformats.org/officeDocument/2006/relationships/image" Target="../media/image17.png"/><Relationship Id="rId5" Type="http://schemas.openxmlformats.org/officeDocument/2006/relationships/image" Target="../media/image13.png"/><Relationship Id="rId10" Type="http://schemas.openxmlformats.org/officeDocument/2006/relationships/image" Target="../media/image2.svg"/><Relationship Id="rId4" Type="http://schemas.openxmlformats.org/officeDocument/2006/relationships/image" Target="../media/image6.sv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xdr:col>
      <xdr:colOff>107707</xdr:colOff>
      <xdr:row>21</xdr:row>
      <xdr:rowOff>148736</xdr:rowOff>
    </xdr:from>
    <xdr:to>
      <xdr:col>8</xdr:col>
      <xdr:colOff>402981</xdr:colOff>
      <xdr:row>34</xdr:row>
      <xdr:rowOff>131884</xdr:rowOff>
    </xdr:to>
    <xdr:graphicFrame macro="">
      <xdr:nvGraphicFramePr>
        <xdr:cNvPr id="3" name="Monthly calls">
          <a:extLst>
            <a:ext uri="{FF2B5EF4-FFF2-40B4-BE49-F238E27FC236}">
              <a16:creationId xmlns:a16="http://schemas.microsoft.com/office/drawing/2014/main" id="{D5BB0E20-027F-4E06-8FA4-93BCEB99D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102579</xdr:colOff>
      <xdr:row>40</xdr:row>
      <xdr:rowOff>170719</xdr:rowOff>
    </xdr:from>
    <xdr:to>
      <xdr:col>6</xdr:col>
      <xdr:colOff>571501</xdr:colOff>
      <xdr:row>51</xdr:row>
      <xdr:rowOff>117231</xdr:rowOff>
    </xdr:to>
    <xdr:graphicFrame macro="">
      <xdr:nvGraphicFramePr>
        <xdr:cNvPr id="2" name="Weekly calls">
          <a:extLst>
            <a:ext uri="{FF2B5EF4-FFF2-40B4-BE49-F238E27FC236}">
              <a16:creationId xmlns:a16="http://schemas.microsoft.com/office/drawing/2014/main" id="{58DB5BBE-0F2B-4B0A-9FE9-1904E65CD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432289</xdr:colOff>
      <xdr:row>64</xdr:row>
      <xdr:rowOff>73269</xdr:rowOff>
    </xdr:from>
    <xdr:to>
      <xdr:col>9</xdr:col>
      <xdr:colOff>0</xdr:colOff>
      <xdr:row>73</xdr:row>
      <xdr:rowOff>58614</xdr:rowOff>
    </xdr:to>
    <xdr:graphicFrame macro="">
      <xdr:nvGraphicFramePr>
        <xdr:cNvPr id="5" name="Chart 4">
          <a:extLst>
            <a:ext uri="{FF2B5EF4-FFF2-40B4-BE49-F238E27FC236}">
              <a16:creationId xmlns:a16="http://schemas.microsoft.com/office/drawing/2014/main" id="{F5174AA1-E54E-4882-BF59-692244A69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461598</xdr:colOff>
      <xdr:row>75</xdr:row>
      <xdr:rowOff>156062</xdr:rowOff>
    </xdr:from>
    <xdr:to>
      <xdr:col>11</xdr:col>
      <xdr:colOff>674078</xdr:colOff>
      <xdr:row>88</xdr:row>
      <xdr:rowOff>14653</xdr:rowOff>
    </xdr:to>
    <xdr:graphicFrame macro="">
      <xdr:nvGraphicFramePr>
        <xdr:cNvPr id="4" name="no.of calls based on gender">
          <a:extLst>
            <a:ext uri="{FF2B5EF4-FFF2-40B4-BE49-F238E27FC236}">
              <a16:creationId xmlns:a16="http://schemas.microsoft.com/office/drawing/2014/main" id="{E2B415FC-C932-4310-A61C-4B032E04B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131884</xdr:colOff>
      <xdr:row>64</xdr:row>
      <xdr:rowOff>21980</xdr:rowOff>
    </xdr:from>
    <xdr:to>
      <xdr:col>19</xdr:col>
      <xdr:colOff>285750</xdr:colOff>
      <xdr:row>73</xdr:row>
      <xdr:rowOff>106240</xdr:rowOff>
    </xdr:to>
    <xdr:graphicFrame macro="">
      <xdr:nvGraphicFramePr>
        <xdr:cNvPr id="7" name="Chart 6">
          <a:extLst>
            <a:ext uri="{FF2B5EF4-FFF2-40B4-BE49-F238E27FC236}">
              <a16:creationId xmlns:a16="http://schemas.microsoft.com/office/drawing/2014/main" id="{67AE0020-E64B-4D70-8EEB-78C5B6FF4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131885</xdr:colOff>
      <xdr:row>91</xdr:row>
      <xdr:rowOff>163390</xdr:rowOff>
    </xdr:from>
    <xdr:to>
      <xdr:col>6</xdr:col>
      <xdr:colOff>271097</xdr:colOff>
      <xdr:row>101</xdr:row>
      <xdr:rowOff>80596</xdr:rowOff>
    </xdr:to>
    <xdr:graphicFrame macro="">
      <xdr:nvGraphicFramePr>
        <xdr:cNvPr id="9" name="Chart 8">
          <a:extLst>
            <a:ext uri="{FF2B5EF4-FFF2-40B4-BE49-F238E27FC236}">
              <a16:creationId xmlns:a16="http://schemas.microsoft.com/office/drawing/2014/main" id="{FD6476F2-A4D3-41F2-9710-EB40EE2B0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276225</xdr:colOff>
      <xdr:row>1</xdr:row>
      <xdr:rowOff>85726</xdr:rowOff>
    </xdr:from>
    <xdr:to>
      <xdr:col>3</xdr:col>
      <xdr:colOff>228600</xdr:colOff>
      <xdr:row>6</xdr:row>
      <xdr:rowOff>85726</xdr:rowOff>
    </xdr:to>
    <xdr:sp macro="" textlink="Pivot!A4">
      <xdr:nvSpPr>
        <xdr:cNvPr id="2" name="Rectangle 1">
          <a:extLst>
            <a:ext uri="{FF2B5EF4-FFF2-40B4-BE49-F238E27FC236}">
              <a16:creationId xmlns:a16="http://schemas.microsoft.com/office/drawing/2014/main" id="{0C275E38-ADFD-4093-BB6C-4A1DBCAB9F45}"/>
            </a:ext>
          </a:extLst>
        </xdr:cNvPr>
        <xdr:cNvSpPr/>
      </xdr:nvSpPr>
      <xdr:spPr>
        <a:xfrm>
          <a:off x="276225" y="266701"/>
          <a:ext cx="2009775" cy="11049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F6A85075-8F30-4D93-BA55-EC18989A6C1E}" type="TxLink">
            <a:rPr lang="en-US" sz="2800" b="1" i="0" u="none" strike="noStrike">
              <a:solidFill>
                <a:srgbClr val="000000"/>
              </a:solidFill>
              <a:latin typeface="Aptos"/>
            </a:rPr>
            <a:pPr algn="ctr"/>
            <a:t>1,000</a:t>
          </a:fld>
          <a:endParaRPr lang="en-IN" sz="2800" b="1"/>
        </a:p>
      </xdr:txBody>
    </xdr:sp>
    <xdr:clientData/>
  </xdr:twoCellAnchor>
  <xdr:twoCellAnchor>
    <xdr:from>
      <xdr:col>0</xdr:col>
      <xdr:colOff>504825</xdr:colOff>
      <xdr:row>1</xdr:row>
      <xdr:rowOff>66675</xdr:rowOff>
    </xdr:from>
    <xdr:to>
      <xdr:col>3</xdr:col>
      <xdr:colOff>57024</xdr:colOff>
      <xdr:row>2</xdr:row>
      <xdr:rowOff>146700</xdr:rowOff>
    </xdr:to>
    <xdr:sp macro="" textlink="">
      <xdr:nvSpPr>
        <xdr:cNvPr id="3" name="TextBox 2">
          <a:extLst>
            <a:ext uri="{FF2B5EF4-FFF2-40B4-BE49-F238E27FC236}">
              <a16:creationId xmlns:a16="http://schemas.microsoft.com/office/drawing/2014/main" id="{B9162CCD-2C51-4199-9DBB-4DCE21DFFBF5}"/>
            </a:ext>
          </a:extLst>
        </xdr:cNvPr>
        <xdr:cNvSpPr txBox="1"/>
      </xdr:nvSpPr>
      <xdr:spPr>
        <a:xfrm>
          <a:off x="504825" y="247650"/>
          <a:ext cx="1609599" cy="26100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1400" b="1"/>
            <a:t>Calls</a:t>
          </a:r>
        </a:p>
        <a:p>
          <a:endParaRPr lang="en-IN" sz="1100"/>
        </a:p>
      </xdr:txBody>
    </xdr:sp>
    <xdr:clientData/>
  </xdr:twoCellAnchor>
  <xdr:twoCellAnchor>
    <xdr:from>
      <xdr:col>1</xdr:col>
      <xdr:colOff>266701</xdr:colOff>
      <xdr:row>5</xdr:row>
      <xdr:rowOff>57150</xdr:rowOff>
    </xdr:from>
    <xdr:to>
      <xdr:col>2</xdr:col>
      <xdr:colOff>372361</xdr:colOff>
      <xdr:row>6</xdr:row>
      <xdr:rowOff>102375</xdr:rowOff>
    </xdr:to>
    <xdr:sp macro="" textlink="Pivot!$A$10">
      <xdr:nvSpPr>
        <xdr:cNvPr id="4" name="TextBox 3">
          <a:extLst>
            <a:ext uri="{FF2B5EF4-FFF2-40B4-BE49-F238E27FC236}">
              <a16:creationId xmlns:a16="http://schemas.microsoft.com/office/drawing/2014/main" id="{167A60D8-A810-4634-9049-2F39C313B222}"/>
            </a:ext>
          </a:extLst>
        </xdr:cNvPr>
        <xdr:cNvSpPr txBox="1"/>
      </xdr:nvSpPr>
      <xdr:spPr>
        <a:xfrm>
          <a:off x="952501" y="1162050"/>
          <a:ext cx="791460" cy="22620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32524F0A-71A4-4522-A612-F35F47389D58}" type="TxLink">
            <a:rPr lang="en-US" sz="1100" b="0" i="0" u="none" strike="noStrike">
              <a:ln>
                <a:noFill/>
              </a:ln>
              <a:solidFill>
                <a:srgbClr val="000000"/>
              </a:solidFill>
              <a:latin typeface="Aptos"/>
            </a:rPr>
            <a:pPr algn="ctr"/>
            <a:t>218</a:t>
          </a:fld>
          <a:endParaRPr lang="en-IN" sz="1100">
            <a:ln>
              <a:noFill/>
            </a:ln>
          </a:endParaRPr>
        </a:p>
      </xdr:txBody>
    </xdr:sp>
    <xdr:clientData/>
  </xdr:twoCellAnchor>
  <xdr:twoCellAnchor editAs="oneCell">
    <xdr:from>
      <xdr:col>1</xdr:col>
      <xdr:colOff>214825</xdr:colOff>
      <xdr:row>1</xdr:row>
      <xdr:rowOff>92994</xdr:rowOff>
    </xdr:from>
    <xdr:to>
      <xdr:col>1</xdr:col>
      <xdr:colOff>452688</xdr:colOff>
      <xdr:row>2</xdr:row>
      <xdr:rowOff>140263</xdr:rowOff>
    </xdr:to>
    <xdr:pic>
      <xdr:nvPicPr>
        <xdr:cNvPr id="5" name="Graphic 4" descr="Receiver with solid fill">
          <a:extLst>
            <a:ext uri="{FF2B5EF4-FFF2-40B4-BE49-F238E27FC236}">
              <a16:creationId xmlns:a16="http://schemas.microsoft.com/office/drawing/2014/main" id="{7CDCC0CF-5525-4D2D-98B7-245874CBD9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996010">
          <a:off x="900625" y="273969"/>
          <a:ext cx="237863" cy="228244"/>
        </a:xfrm>
        <a:prstGeom prst="rect">
          <a:avLst/>
        </a:prstGeom>
      </xdr:spPr>
    </xdr:pic>
    <xdr:clientData/>
  </xdr:twoCellAnchor>
  <xdr:twoCellAnchor>
    <xdr:from>
      <xdr:col>0</xdr:col>
      <xdr:colOff>295275</xdr:colOff>
      <xdr:row>7</xdr:row>
      <xdr:rowOff>161926</xdr:rowOff>
    </xdr:from>
    <xdr:to>
      <xdr:col>3</xdr:col>
      <xdr:colOff>247650</xdr:colOff>
      <xdr:row>14</xdr:row>
      <xdr:rowOff>38101</xdr:rowOff>
    </xdr:to>
    <xdr:sp macro="" textlink="Pivot!$B$4">
      <xdr:nvSpPr>
        <xdr:cNvPr id="6" name="Rectangle 5">
          <a:extLst>
            <a:ext uri="{FF2B5EF4-FFF2-40B4-BE49-F238E27FC236}">
              <a16:creationId xmlns:a16="http://schemas.microsoft.com/office/drawing/2014/main" id="{6960B353-915B-4149-B25D-1F4CB4CBB0F6}"/>
            </a:ext>
          </a:extLst>
        </xdr:cNvPr>
        <xdr:cNvSpPr/>
      </xdr:nvSpPr>
      <xdr:spPr>
        <a:xfrm>
          <a:off x="295275" y="1628776"/>
          <a:ext cx="2009775" cy="1143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2163DC68-777A-47FD-96B2-DF1C0C69D34C}" type="TxLink">
            <a:rPr lang="en-US" sz="2800" b="1" i="0" u="none" strike="noStrike">
              <a:solidFill>
                <a:srgbClr val="000000"/>
              </a:solidFill>
              <a:latin typeface="Aptos"/>
            </a:rPr>
            <a:pPr algn="ctr"/>
            <a:t>₹ 96,623</a:t>
          </a:fld>
          <a:endParaRPr lang="en-IN" sz="2800" b="1"/>
        </a:p>
      </xdr:txBody>
    </xdr:sp>
    <xdr:clientData/>
  </xdr:twoCellAnchor>
  <xdr:twoCellAnchor>
    <xdr:from>
      <xdr:col>0</xdr:col>
      <xdr:colOff>523875</xdr:colOff>
      <xdr:row>7</xdr:row>
      <xdr:rowOff>142875</xdr:rowOff>
    </xdr:from>
    <xdr:to>
      <xdr:col>3</xdr:col>
      <xdr:colOff>76074</xdr:colOff>
      <xdr:row>9</xdr:row>
      <xdr:rowOff>50925</xdr:rowOff>
    </xdr:to>
    <xdr:sp macro="" textlink="">
      <xdr:nvSpPr>
        <xdr:cNvPr id="7" name="TextBox 6">
          <a:extLst>
            <a:ext uri="{FF2B5EF4-FFF2-40B4-BE49-F238E27FC236}">
              <a16:creationId xmlns:a16="http://schemas.microsoft.com/office/drawing/2014/main" id="{375A3DD7-26FB-4C59-9FF1-02132F36B06C}"/>
            </a:ext>
          </a:extLst>
        </xdr:cNvPr>
        <xdr:cNvSpPr txBox="1"/>
      </xdr:nvSpPr>
      <xdr:spPr>
        <a:xfrm>
          <a:off x="523875" y="1609725"/>
          <a:ext cx="1609599" cy="27000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1400" b="1"/>
            <a:t>Amount</a:t>
          </a:r>
        </a:p>
        <a:p>
          <a:pPr algn="ctr"/>
          <a:endParaRPr lang="en-IN" sz="1400" b="1"/>
        </a:p>
        <a:p>
          <a:endParaRPr lang="en-IN" sz="1100"/>
        </a:p>
      </xdr:txBody>
    </xdr:sp>
    <xdr:clientData/>
  </xdr:twoCellAnchor>
  <xdr:twoCellAnchor>
    <xdr:from>
      <xdr:col>1</xdr:col>
      <xdr:colOff>285751</xdr:colOff>
      <xdr:row>12</xdr:row>
      <xdr:rowOff>152400</xdr:rowOff>
    </xdr:from>
    <xdr:to>
      <xdr:col>2</xdr:col>
      <xdr:colOff>391411</xdr:colOff>
      <xdr:row>14</xdr:row>
      <xdr:rowOff>24450</xdr:rowOff>
    </xdr:to>
    <xdr:sp macro="" textlink="Pivot!$B$10">
      <xdr:nvSpPr>
        <xdr:cNvPr id="8" name="TextBox 7">
          <a:extLst>
            <a:ext uri="{FF2B5EF4-FFF2-40B4-BE49-F238E27FC236}">
              <a16:creationId xmlns:a16="http://schemas.microsoft.com/office/drawing/2014/main" id="{9BDFF830-CD6C-4E74-8056-D697310FD490}"/>
            </a:ext>
          </a:extLst>
        </xdr:cNvPr>
        <xdr:cNvSpPr txBox="1"/>
      </xdr:nvSpPr>
      <xdr:spPr>
        <a:xfrm>
          <a:off x="971551" y="2524125"/>
          <a:ext cx="791460" cy="23400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42B88169-F351-421A-8B13-06DA926D2A04}" type="TxLink">
            <a:rPr lang="en-US" sz="1100" b="0" i="0" u="none" strike="noStrike">
              <a:ln>
                <a:noFill/>
              </a:ln>
              <a:solidFill>
                <a:srgbClr val="000000"/>
              </a:solidFill>
              <a:latin typeface="Aptos"/>
            </a:rPr>
            <a:pPr algn="ctr"/>
            <a:t>₹ 20,581</a:t>
          </a:fld>
          <a:endParaRPr lang="en-IN" sz="1100">
            <a:ln>
              <a:noFill/>
            </a:ln>
          </a:endParaRPr>
        </a:p>
      </xdr:txBody>
    </xdr:sp>
    <xdr:clientData/>
  </xdr:twoCellAnchor>
  <xdr:twoCellAnchor>
    <xdr:from>
      <xdr:col>0</xdr:col>
      <xdr:colOff>314325</xdr:colOff>
      <xdr:row>15</xdr:row>
      <xdr:rowOff>142875</xdr:rowOff>
    </xdr:from>
    <xdr:to>
      <xdr:col>3</xdr:col>
      <xdr:colOff>247650</xdr:colOff>
      <xdr:row>22</xdr:row>
      <xdr:rowOff>85725</xdr:rowOff>
    </xdr:to>
    <xdr:sp macro="" textlink="Pivot!$C$4">
      <xdr:nvSpPr>
        <xdr:cNvPr id="18" name="Rectangle 17">
          <a:extLst>
            <a:ext uri="{FF2B5EF4-FFF2-40B4-BE49-F238E27FC236}">
              <a16:creationId xmlns:a16="http://schemas.microsoft.com/office/drawing/2014/main" id="{9A397B83-7F79-4A3A-9468-9C63F7DCB86E}"/>
            </a:ext>
          </a:extLst>
        </xdr:cNvPr>
        <xdr:cNvSpPr/>
      </xdr:nvSpPr>
      <xdr:spPr>
        <a:xfrm>
          <a:off x="314325" y="3057525"/>
          <a:ext cx="1990725" cy="12096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5CBF704C-AFC5-4620-98E8-38FC9CB79B79}" type="TxLink">
            <a:rPr lang="en-US" sz="2800" b="1" i="0" u="none" strike="noStrike">
              <a:solidFill>
                <a:srgbClr val="000000"/>
              </a:solidFill>
              <a:latin typeface="Aptos"/>
            </a:rPr>
            <a:pPr algn="ctr"/>
            <a:t>89,850</a:t>
          </a:fld>
          <a:endParaRPr lang="en-IN" sz="2800" b="1"/>
        </a:p>
      </xdr:txBody>
    </xdr:sp>
    <xdr:clientData/>
  </xdr:twoCellAnchor>
  <xdr:twoCellAnchor>
    <xdr:from>
      <xdr:col>0</xdr:col>
      <xdr:colOff>542926</xdr:colOff>
      <xdr:row>15</xdr:row>
      <xdr:rowOff>123825</xdr:rowOff>
    </xdr:from>
    <xdr:to>
      <xdr:col>3</xdr:col>
      <xdr:colOff>79868</xdr:colOff>
      <xdr:row>17</xdr:row>
      <xdr:rowOff>47625</xdr:rowOff>
    </xdr:to>
    <xdr:sp macro="" textlink="">
      <xdr:nvSpPr>
        <xdr:cNvPr id="19" name="TextBox 18">
          <a:extLst>
            <a:ext uri="{FF2B5EF4-FFF2-40B4-BE49-F238E27FC236}">
              <a16:creationId xmlns:a16="http://schemas.microsoft.com/office/drawing/2014/main" id="{6A253B06-6DFA-45DF-A9FD-A3916E9A4476}"/>
            </a:ext>
          </a:extLst>
        </xdr:cNvPr>
        <xdr:cNvSpPr txBox="1"/>
      </xdr:nvSpPr>
      <xdr:spPr>
        <a:xfrm>
          <a:off x="542926" y="3038475"/>
          <a:ext cx="1594342" cy="28575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1400" b="1"/>
            <a:t>Time</a:t>
          </a:r>
        </a:p>
        <a:p>
          <a:pPr algn="ctr"/>
          <a:endParaRPr lang="en-IN" sz="1400" b="1"/>
        </a:p>
        <a:p>
          <a:endParaRPr lang="en-IN" sz="1100"/>
        </a:p>
      </xdr:txBody>
    </xdr:sp>
    <xdr:clientData/>
  </xdr:twoCellAnchor>
  <xdr:twoCellAnchor>
    <xdr:from>
      <xdr:col>1</xdr:col>
      <xdr:colOff>304801</xdr:colOff>
      <xdr:row>20</xdr:row>
      <xdr:rowOff>133350</xdr:rowOff>
    </xdr:from>
    <xdr:to>
      <xdr:col>2</xdr:col>
      <xdr:colOff>402959</xdr:colOff>
      <xdr:row>22</xdr:row>
      <xdr:rowOff>19050</xdr:rowOff>
    </xdr:to>
    <xdr:sp macro="" textlink="Pivot!$C$10">
      <xdr:nvSpPr>
        <xdr:cNvPr id="20" name="TextBox 19">
          <a:extLst>
            <a:ext uri="{FF2B5EF4-FFF2-40B4-BE49-F238E27FC236}">
              <a16:creationId xmlns:a16="http://schemas.microsoft.com/office/drawing/2014/main" id="{8DF36A84-A4CE-4F01-A5E0-0A6761FE6FEB}"/>
            </a:ext>
          </a:extLst>
        </xdr:cNvPr>
        <xdr:cNvSpPr txBox="1"/>
      </xdr:nvSpPr>
      <xdr:spPr>
        <a:xfrm>
          <a:off x="990601" y="3952875"/>
          <a:ext cx="783958" cy="24765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25DA4E1A-977C-40ED-B5DA-A5CA83C120F3}" type="TxLink">
            <a:rPr lang="en-US" sz="1100" b="0" i="0" u="none" strike="noStrike">
              <a:ln>
                <a:noFill/>
              </a:ln>
              <a:solidFill>
                <a:srgbClr val="000000"/>
              </a:solidFill>
              <a:latin typeface="Aptos"/>
            </a:rPr>
            <a:pPr algn="ctr"/>
            <a:t>19,300</a:t>
          </a:fld>
          <a:endParaRPr lang="en-IN" sz="1100">
            <a:ln>
              <a:noFill/>
            </a:ln>
          </a:endParaRPr>
        </a:p>
      </xdr:txBody>
    </xdr:sp>
    <xdr:clientData/>
  </xdr:twoCellAnchor>
  <xdr:twoCellAnchor>
    <xdr:from>
      <xdr:col>0</xdr:col>
      <xdr:colOff>314325</xdr:colOff>
      <xdr:row>23</xdr:row>
      <xdr:rowOff>171451</xdr:rowOff>
    </xdr:from>
    <xdr:to>
      <xdr:col>3</xdr:col>
      <xdr:colOff>238125</xdr:colOff>
      <xdr:row>30</xdr:row>
      <xdr:rowOff>47626</xdr:rowOff>
    </xdr:to>
    <xdr:sp macro="" textlink="Pivot!$D$4">
      <xdr:nvSpPr>
        <xdr:cNvPr id="22" name="Rectangle 21">
          <a:extLst>
            <a:ext uri="{FF2B5EF4-FFF2-40B4-BE49-F238E27FC236}">
              <a16:creationId xmlns:a16="http://schemas.microsoft.com/office/drawing/2014/main" id="{053155A7-60E8-42FE-810B-70F9486DE003}"/>
            </a:ext>
          </a:extLst>
        </xdr:cNvPr>
        <xdr:cNvSpPr/>
      </xdr:nvSpPr>
      <xdr:spPr>
        <a:xfrm>
          <a:off x="314325" y="4533901"/>
          <a:ext cx="1981200" cy="1143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BF5B1AB9-BEC6-4A08-AE76-5D12EA6D07FF}" type="TxLink">
            <a:rPr lang="en-US" sz="2800" b="1" i="0" u="none" strike="noStrike">
              <a:solidFill>
                <a:srgbClr val="000000"/>
              </a:solidFill>
              <a:latin typeface="Aptos"/>
            </a:rPr>
            <a:pPr algn="ctr"/>
            <a:t>3.9</a:t>
          </a:fld>
          <a:endParaRPr lang="en-IN" sz="2800" b="1"/>
        </a:p>
      </xdr:txBody>
    </xdr:sp>
    <xdr:clientData/>
  </xdr:twoCellAnchor>
  <xdr:twoCellAnchor>
    <xdr:from>
      <xdr:col>0</xdr:col>
      <xdr:colOff>542925</xdr:colOff>
      <xdr:row>23</xdr:row>
      <xdr:rowOff>152400</xdr:rowOff>
    </xdr:from>
    <xdr:to>
      <xdr:col>3</xdr:col>
      <xdr:colOff>72238</xdr:colOff>
      <xdr:row>25</xdr:row>
      <xdr:rowOff>60450</xdr:rowOff>
    </xdr:to>
    <xdr:sp macro="" textlink="">
      <xdr:nvSpPr>
        <xdr:cNvPr id="23" name="TextBox 22">
          <a:extLst>
            <a:ext uri="{FF2B5EF4-FFF2-40B4-BE49-F238E27FC236}">
              <a16:creationId xmlns:a16="http://schemas.microsoft.com/office/drawing/2014/main" id="{045F8D50-5C00-4832-BBFE-54A890E6E537}"/>
            </a:ext>
          </a:extLst>
        </xdr:cNvPr>
        <xdr:cNvSpPr txBox="1"/>
      </xdr:nvSpPr>
      <xdr:spPr>
        <a:xfrm>
          <a:off x="542925" y="4514850"/>
          <a:ext cx="1586713" cy="27000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1400" b="1"/>
            <a:t>Rating</a:t>
          </a:r>
        </a:p>
        <a:p>
          <a:pPr algn="ctr"/>
          <a:endParaRPr lang="en-IN" sz="1400" b="1"/>
        </a:p>
        <a:p>
          <a:endParaRPr lang="en-IN" sz="1100"/>
        </a:p>
      </xdr:txBody>
    </xdr:sp>
    <xdr:clientData/>
  </xdr:twoCellAnchor>
  <xdr:twoCellAnchor>
    <xdr:from>
      <xdr:col>1</xdr:col>
      <xdr:colOff>304800</xdr:colOff>
      <xdr:row>28</xdr:row>
      <xdr:rowOff>161925</xdr:rowOff>
    </xdr:from>
    <xdr:to>
      <xdr:col>2</xdr:col>
      <xdr:colOff>399207</xdr:colOff>
      <xdr:row>30</xdr:row>
      <xdr:rowOff>33975</xdr:rowOff>
    </xdr:to>
    <xdr:sp macro="" textlink="Pivot!$D$10">
      <xdr:nvSpPr>
        <xdr:cNvPr id="24" name="TextBox 23">
          <a:extLst>
            <a:ext uri="{FF2B5EF4-FFF2-40B4-BE49-F238E27FC236}">
              <a16:creationId xmlns:a16="http://schemas.microsoft.com/office/drawing/2014/main" id="{4E4050AC-D870-4BE4-A8CA-8B3D67C72F56}"/>
            </a:ext>
          </a:extLst>
        </xdr:cNvPr>
        <xdr:cNvSpPr txBox="1"/>
      </xdr:nvSpPr>
      <xdr:spPr>
        <a:xfrm>
          <a:off x="990600" y="5429250"/>
          <a:ext cx="780207" cy="23400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98CCA12B-3249-438D-8170-0BBD8009B4A2}" type="TxLink">
            <a:rPr lang="en-US" sz="1100" b="0" i="0" u="none" strike="noStrike">
              <a:ln>
                <a:noFill/>
              </a:ln>
              <a:solidFill>
                <a:srgbClr val="000000"/>
              </a:solidFill>
              <a:latin typeface="Aptos"/>
            </a:rPr>
            <a:pPr algn="ctr"/>
            <a:t>3.9</a:t>
          </a:fld>
          <a:endParaRPr lang="en-IN" sz="1100">
            <a:ln>
              <a:noFill/>
            </a:ln>
          </a:endParaRPr>
        </a:p>
      </xdr:txBody>
    </xdr:sp>
    <xdr:clientData/>
  </xdr:twoCellAnchor>
  <xdr:twoCellAnchor>
    <xdr:from>
      <xdr:col>0</xdr:col>
      <xdr:colOff>333375</xdr:colOff>
      <xdr:row>32</xdr:row>
      <xdr:rowOff>19050</xdr:rowOff>
    </xdr:from>
    <xdr:to>
      <xdr:col>3</xdr:col>
      <xdr:colOff>266700</xdr:colOff>
      <xdr:row>38</xdr:row>
      <xdr:rowOff>142875</xdr:rowOff>
    </xdr:to>
    <xdr:sp macro="" textlink="Pivot!$E$4">
      <xdr:nvSpPr>
        <xdr:cNvPr id="26" name="Rectangle 25">
          <a:extLst>
            <a:ext uri="{FF2B5EF4-FFF2-40B4-BE49-F238E27FC236}">
              <a16:creationId xmlns:a16="http://schemas.microsoft.com/office/drawing/2014/main" id="{4EBD3AE5-6385-4D02-A955-A286716FB3B7}"/>
            </a:ext>
          </a:extLst>
        </xdr:cNvPr>
        <xdr:cNvSpPr/>
      </xdr:nvSpPr>
      <xdr:spPr>
        <a:xfrm>
          <a:off x="333375" y="6010275"/>
          <a:ext cx="1990725" cy="12096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44492A73-BFD4-4D08-83AD-2C44D2F164F4}" type="TxLink">
            <a:rPr lang="en-US" sz="2800" b="1" i="0" u="none" strike="noStrike">
              <a:solidFill>
                <a:srgbClr val="000000"/>
              </a:solidFill>
              <a:latin typeface="Aptos"/>
            </a:rPr>
            <a:pPr algn="ctr"/>
            <a:t>307</a:t>
          </a:fld>
          <a:endParaRPr lang="en-IN" sz="2800" b="1"/>
        </a:p>
      </xdr:txBody>
    </xdr:sp>
    <xdr:clientData/>
  </xdr:twoCellAnchor>
  <xdr:twoCellAnchor>
    <xdr:from>
      <xdr:col>0</xdr:col>
      <xdr:colOff>561976</xdr:colOff>
      <xdr:row>32</xdr:row>
      <xdr:rowOff>0</xdr:rowOff>
    </xdr:from>
    <xdr:to>
      <xdr:col>3</xdr:col>
      <xdr:colOff>98918</xdr:colOff>
      <xdr:row>33</xdr:row>
      <xdr:rowOff>104775</xdr:rowOff>
    </xdr:to>
    <xdr:sp macro="" textlink="">
      <xdr:nvSpPr>
        <xdr:cNvPr id="27" name="TextBox 26">
          <a:extLst>
            <a:ext uri="{FF2B5EF4-FFF2-40B4-BE49-F238E27FC236}">
              <a16:creationId xmlns:a16="http://schemas.microsoft.com/office/drawing/2014/main" id="{46839CE2-6CAC-4671-8184-7D946DC2C31A}"/>
            </a:ext>
          </a:extLst>
        </xdr:cNvPr>
        <xdr:cNvSpPr txBox="1"/>
      </xdr:nvSpPr>
      <xdr:spPr>
        <a:xfrm>
          <a:off x="561976" y="5991225"/>
          <a:ext cx="1594342" cy="28575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IN" sz="1400" b="1"/>
            <a:t>Top rating</a:t>
          </a:r>
        </a:p>
        <a:p>
          <a:endParaRPr lang="en-IN" sz="1100"/>
        </a:p>
      </xdr:txBody>
    </xdr:sp>
    <xdr:clientData/>
  </xdr:twoCellAnchor>
  <xdr:twoCellAnchor>
    <xdr:from>
      <xdr:col>1</xdr:col>
      <xdr:colOff>323851</xdr:colOff>
      <xdr:row>37</xdr:row>
      <xdr:rowOff>9525</xdr:rowOff>
    </xdr:from>
    <xdr:to>
      <xdr:col>2</xdr:col>
      <xdr:colOff>422009</xdr:colOff>
      <xdr:row>38</xdr:row>
      <xdr:rowOff>76200</xdr:rowOff>
    </xdr:to>
    <xdr:sp macro="" textlink="Pivot!$E$10">
      <xdr:nvSpPr>
        <xdr:cNvPr id="28" name="TextBox 27">
          <a:extLst>
            <a:ext uri="{FF2B5EF4-FFF2-40B4-BE49-F238E27FC236}">
              <a16:creationId xmlns:a16="http://schemas.microsoft.com/office/drawing/2014/main" id="{18C6DBDF-6B45-4448-BB02-FF72B174FEF2}"/>
            </a:ext>
          </a:extLst>
        </xdr:cNvPr>
        <xdr:cNvSpPr txBox="1"/>
      </xdr:nvSpPr>
      <xdr:spPr>
        <a:xfrm>
          <a:off x="1009651" y="6905625"/>
          <a:ext cx="783958" cy="247650"/>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0EFFF6E0-A8AA-47BC-B1F3-BA22FBBE5515}" type="TxLink">
            <a:rPr lang="en-US" sz="1100" b="0" i="0" u="none" strike="noStrike">
              <a:ln>
                <a:noFill/>
              </a:ln>
              <a:solidFill>
                <a:srgbClr val="000000"/>
              </a:solidFill>
              <a:latin typeface="Aptos"/>
            </a:rPr>
            <a:pPr algn="ctr"/>
            <a:t>74</a:t>
          </a:fld>
          <a:endParaRPr lang="en-IN" sz="1100">
            <a:ln>
              <a:noFill/>
            </a:ln>
          </a:endParaRPr>
        </a:p>
      </xdr:txBody>
    </xdr:sp>
    <xdr:clientData/>
  </xdr:twoCellAnchor>
  <xdr:twoCellAnchor editAs="oneCell">
    <xdr:from>
      <xdr:col>1</xdr:col>
      <xdr:colOff>2604</xdr:colOff>
      <xdr:row>7</xdr:row>
      <xdr:rowOff>152221</xdr:rowOff>
    </xdr:from>
    <xdr:to>
      <xdr:col>1</xdr:col>
      <xdr:colOff>290218</xdr:colOff>
      <xdr:row>9</xdr:row>
      <xdr:rowOff>60440</xdr:rowOff>
    </xdr:to>
    <xdr:pic>
      <xdr:nvPicPr>
        <xdr:cNvPr id="30" name="Graphic 29" descr="Shopping cart with solid fill">
          <a:extLst>
            <a:ext uri="{FF2B5EF4-FFF2-40B4-BE49-F238E27FC236}">
              <a16:creationId xmlns:a16="http://schemas.microsoft.com/office/drawing/2014/main" id="{8C22252F-B15B-448B-A3E9-FA8BE71B08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8404" y="1619071"/>
          <a:ext cx="287614" cy="270169"/>
        </a:xfrm>
        <a:prstGeom prst="rect">
          <a:avLst/>
        </a:prstGeom>
      </xdr:spPr>
    </xdr:pic>
    <xdr:clientData/>
  </xdr:twoCellAnchor>
  <xdr:twoCellAnchor editAs="oneCell">
    <xdr:from>
      <xdr:col>1</xdr:col>
      <xdr:colOff>78805</xdr:colOff>
      <xdr:row>15</xdr:row>
      <xdr:rowOff>152221</xdr:rowOff>
    </xdr:from>
    <xdr:to>
      <xdr:col>1</xdr:col>
      <xdr:colOff>381001</xdr:colOff>
      <xdr:row>17</xdr:row>
      <xdr:rowOff>86358</xdr:rowOff>
    </xdr:to>
    <xdr:pic>
      <xdr:nvPicPr>
        <xdr:cNvPr id="31" name="Graphic 30" descr="Hourglass Finished with solid fill">
          <a:extLst>
            <a:ext uri="{FF2B5EF4-FFF2-40B4-BE49-F238E27FC236}">
              <a16:creationId xmlns:a16="http://schemas.microsoft.com/office/drawing/2014/main" id="{A70A2B1F-8AAB-406A-8AC2-4BCB97B2FC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4605" y="3066871"/>
          <a:ext cx="302196" cy="296087"/>
        </a:xfrm>
        <a:prstGeom prst="rect">
          <a:avLst/>
        </a:prstGeom>
      </xdr:spPr>
    </xdr:pic>
    <xdr:clientData/>
  </xdr:twoCellAnchor>
  <xdr:twoCellAnchor editAs="oneCell">
    <xdr:from>
      <xdr:col>0</xdr:col>
      <xdr:colOff>609600</xdr:colOff>
      <xdr:row>23</xdr:row>
      <xdr:rowOff>114301</xdr:rowOff>
    </xdr:from>
    <xdr:to>
      <xdr:col>1</xdr:col>
      <xdr:colOff>312600</xdr:colOff>
      <xdr:row>25</xdr:row>
      <xdr:rowOff>125499</xdr:rowOff>
    </xdr:to>
    <xdr:pic>
      <xdr:nvPicPr>
        <xdr:cNvPr id="32" name="Graphic 31" descr="Rating Star with solid fill">
          <a:extLst>
            <a:ext uri="{FF2B5EF4-FFF2-40B4-BE49-F238E27FC236}">
              <a16:creationId xmlns:a16="http://schemas.microsoft.com/office/drawing/2014/main" id="{3E3A6EED-7155-42B6-BFD8-924E123FC3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09600" y="4476751"/>
          <a:ext cx="388800" cy="373148"/>
        </a:xfrm>
        <a:prstGeom prst="rect">
          <a:avLst/>
        </a:prstGeom>
      </xdr:spPr>
    </xdr:pic>
    <xdr:clientData/>
  </xdr:twoCellAnchor>
  <xdr:twoCellAnchor editAs="oneCell">
    <xdr:from>
      <xdr:col>0</xdr:col>
      <xdr:colOff>619125</xdr:colOff>
      <xdr:row>32</xdr:row>
      <xdr:rowOff>57151</xdr:rowOff>
    </xdr:from>
    <xdr:to>
      <xdr:col>1</xdr:col>
      <xdr:colOff>257175</xdr:colOff>
      <xdr:row>34</xdr:row>
      <xdr:rowOff>5955</xdr:rowOff>
    </xdr:to>
    <xdr:pic>
      <xdr:nvPicPr>
        <xdr:cNvPr id="33" name="Graphic 32" descr="Star-struck face outline with solid fill">
          <a:extLst>
            <a:ext uri="{FF2B5EF4-FFF2-40B4-BE49-F238E27FC236}">
              <a16:creationId xmlns:a16="http://schemas.microsoft.com/office/drawing/2014/main" id="{D4FFBB43-42C1-468A-A4EF-A8A7A1B7E30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9125" y="6048376"/>
          <a:ext cx="323850" cy="310754"/>
        </a:xfrm>
        <a:prstGeom prst="rect">
          <a:avLst/>
        </a:prstGeom>
      </xdr:spPr>
    </xdr:pic>
    <xdr:clientData/>
  </xdr:twoCellAnchor>
  <xdr:twoCellAnchor editAs="oneCell">
    <xdr:from>
      <xdr:col>4</xdr:col>
      <xdr:colOff>285750</xdr:colOff>
      <xdr:row>25</xdr:row>
      <xdr:rowOff>104775</xdr:rowOff>
    </xdr:from>
    <xdr:to>
      <xdr:col>6</xdr:col>
      <xdr:colOff>333375</xdr:colOff>
      <xdr:row>35</xdr:row>
      <xdr:rowOff>114300</xdr:rowOff>
    </xdr:to>
    <mc:AlternateContent xmlns:mc="http://schemas.openxmlformats.org/markup-compatibility/2006">
      <mc:Choice xmlns:a14="http://schemas.microsoft.com/office/drawing/2010/main" Requires="a14">
        <xdr:graphicFrame macro="">
          <xdr:nvGraphicFramePr>
            <xdr:cNvPr id="34" name="Representative">
              <a:extLst>
                <a:ext uri="{FF2B5EF4-FFF2-40B4-BE49-F238E27FC236}">
                  <a16:creationId xmlns:a16="http://schemas.microsoft.com/office/drawing/2014/main" id="{98D67393-AA94-4B0F-9A76-353565915A0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3028950" y="4829175"/>
              <a:ext cx="1419225"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0</xdr:row>
      <xdr:rowOff>142875</xdr:rowOff>
    </xdr:from>
    <xdr:to>
      <xdr:col>10</xdr:col>
      <xdr:colOff>666749</xdr:colOff>
      <xdr:row>13</xdr:row>
      <xdr:rowOff>47625</xdr:rowOff>
    </xdr:to>
    <xdr:graphicFrame macro="">
      <xdr:nvGraphicFramePr>
        <xdr:cNvPr id="35" name="Monthly calls">
          <a:extLst>
            <a:ext uri="{FF2B5EF4-FFF2-40B4-BE49-F238E27FC236}">
              <a16:creationId xmlns:a16="http://schemas.microsoft.com/office/drawing/2014/main" id="{562A8211-ED1F-415C-85BD-533990C53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47627</xdr:colOff>
      <xdr:row>2</xdr:row>
      <xdr:rowOff>76201</xdr:rowOff>
    </xdr:from>
    <xdr:to>
      <xdr:col>16</xdr:col>
      <xdr:colOff>38101</xdr:colOff>
      <xdr:row>11</xdr:row>
      <xdr:rowOff>161925</xdr:rowOff>
    </xdr:to>
    <xdr:graphicFrame macro="">
      <xdr:nvGraphicFramePr>
        <xdr:cNvPr id="25" name="weekly calls">
          <a:extLst>
            <a:ext uri="{FF2B5EF4-FFF2-40B4-BE49-F238E27FC236}">
              <a16:creationId xmlns:a16="http://schemas.microsoft.com/office/drawing/2014/main" id="{019642FD-2827-4383-885D-166311932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133350</xdr:colOff>
      <xdr:row>2</xdr:row>
      <xdr:rowOff>38100</xdr:rowOff>
    </xdr:from>
    <xdr:to>
      <xdr:col>25</xdr:col>
      <xdr:colOff>609600</xdr:colOff>
      <xdr:row>12</xdr:row>
      <xdr:rowOff>19050</xdr:rowOff>
    </xdr:to>
    <xdr:graphicFrame macro="">
      <xdr:nvGraphicFramePr>
        <xdr:cNvPr id="37" name="Chart 36">
          <a:extLst>
            <a:ext uri="{FF2B5EF4-FFF2-40B4-BE49-F238E27FC236}">
              <a16:creationId xmlns:a16="http://schemas.microsoft.com/office/drawing/2014/main" id="{DD922CB1-DCAD-4844-921A-75C53B30C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85726</xdr:colOff>
      <xdr:row>2</xdr:row>
      <xdr:rowOff>47625</xdr:rowOff>
    </xdr:from>
    <xdr:to>
      <xdr:col>21</xdr:col>
      <xdr:colOff>104776</xdr:colOff>
      <xdr:row>12</xdr:row>
      <xdr:rowOff>28576</xdr:rowOff>
    </xdr:to>
    <xdr:graphicFrame macro="">
      <xdr:nvGraphicFramePr>
        <xdr:cNvPr id="38" name="Chart 37">
          <a:extLst>
            <a:ext uri="{FF2B5EF4-FFF2-40B4-BE49-F238E27FC236}">
              <a16:creationId xmlns:a16="http://schemas.microsoft.com/office/drawing/2014/main" id="{FA3A99C8-51A6-45AE-953C-40583FA4B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171450</xdr:colOff>
      <xdr:row>13</xdr:row>
      <xdr:rowOff>66674</xdr:rowOff>
    </xdr:from>
    <xdr:to>
      <xdr:col>15</xdr:col>
      <xdr:colOff>57150</xdr:colOff>
      <xdr:row>25</xdr:row>
      <xdr:rowOff>28575</xdr:rowOff>
    </xdr:to>
    <xdr:graphicFrame macro="">
      <xdr:nvGraphicFramePr>
        <xdr:cNvPr id="29" name="no.of calls based on gender">
          <a:extLst>
            <a:ext uri="{FF2B5EF4-FFF2-40B4-BE49-F238E27FC236}">
              <a16:creationId xmlns:a16="http://schemas.microsoft.com/office/drawing/2014/main" id="{4CE5A637-3AF3-4984-A7E2-C518E2731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190502</xdr:colOff>
      <xdr:row>13</xdr:row>
      <xdr:rowOff>66675</xdr:rowOff>
    </xdr:from>
    <xdr:to>
      <xdr:col>9</xdr:col>
      <xdr:colOff>142876</xdr:colOff>
      <xdr:row>25</xdr:row>
      <xdr:rowOff>27843</xdr:rowOff>
    </xdr:to>
    <xdr:graphicFrame macro="">
      <xdr:nvGraphicFramePr>
        <xdr:cNvPr id="36" name="ratings">
          <a:extLst>
            <a:ext uri="{FF2B5EF4-FFF2-40B4-BE49-F238E27FC236}">
              <a16:creationId xmlns:a16="http://schemas.microsoft.com/office/drawing/2014/main" id="{185618A9-F0AE-482B-8FBB-1168AD5ED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4.576653935183" backgroundQuery="1" createdVersion="7" refreshedVersion="7" minRefreshableVersion="3" recordCount="0" supportSubquery="1" supportAdvancedDrill="1" xr:uid="{41B2B509-8D98-4FB1-95EB-756B3A47A9F7}">
  <cacheSource type="external" connectionId="1"/>
  <cacheFields count="3">
    <cacheField name="[calls].[Representative].[Representative]" caption="Representative" numFmtId="0" hierarchy="3" level="1">
      <sharedItems count="5">
        <s v="R01"/>
        <s v="R02"/>
        <s v="R03"/>
        <s v="R04"/>
        <s v="R05"/>
      </sharedItems>
    </cacheField>
    <cacheField name="[Measures].[Amount]" caption="Amount" numFmtId="0" hierarchy="18" level="32767"/>
    <cacheField name="[Measures].[No.of calls]" caption="No.of calls"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2"/>
      </fieldsUsage>
    </cacheHierarchy>
    <cacheHierarchy uniqueName="[Measures].[Amount]" caption="Amount" measure="1" displayFolder="" measureGroup="calls" count="0" oneField="1">
      <fieldsUsage count="1">
        <fieldUsage x="1"/>
      </fieldsUsage>
    </cacheHierarchy>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0.790457986113" backgroundQuery="1" createdVersion="7" refreshedVersion="7" minRefreshableVersion="3" recordCount="0" supportSubquery="1" supportAdvancedDrill="1" xr:uid="{E32E3F98-FEFD-48A6-9310-9FC32F7250B9}">
  <cacheSource type="external" connectionId="1"/>
  <cacheFields count="5">
    <cacheField name="[Measures].[No.of calls]" caption="No.of calls" numFmtId="0" hierarchy="17" level="32767"/>
    <cacheField name="[Measures].[Amount]" caption="Amount" numFmtId="0" hierarchy="18" level="32767"/>
    <cacheField name="[Measures].[Time]" caption="Time" numFmtId="0" hierarchy="19" level="32767"/>
    <cacheField name="[Measures].[Rating]" caption="Rating" numFmtId="0" hierarchy="20" level="32767"/>
    <cacheField name="[Measures].[top rating]" caption="top rating"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0"/>
      </fieldsUsage>
    </cacheHierarchy>
    <cacheHierarchy uniqueName="[Measures].[Amount]" caption="Amount" measure="1" displayFolder="" measureGroup="calls" count="0" oneField="1">
      <fieldsUsage count="1">
        <fieldUsage x="1"/>
      </fieldsUsage>
    </cacheHierarchy>
    <cacheHierarchy uniqueName="[Measures].[Time]" caption="Time" measure="1" displayFolder="" measureGroup="calls" count="0" oneField="1">
      <fieldsUsage count="1">
        <fieldUsage x="2"/>
      </fieldsUsage>
    </cacheHierarchy>
    <cacheHierarchy uniqueName="[Measures].[Rating]" caption="Rating" measure="1" displayFolder="" measureGroup="calls" count="0" oneField="1">
      <fieldsUsage count="1">
        <fieldUsage x="3"/>
      </fieldsUsage>
    </cacheHierarchy>
    <cacheHierarchy uniqueName="[Measures].[top rating]" caption="top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511892476854" backgroundQuery="1" createdVersion="7" refreshedVersion="7" minRefreshableVersion="3" recordCount="0" supportSubquery="1" supportAdvancedDrill="1" xr:uid="{1B530147-348F-41D1-9393-470BCC909F96}">
  <cacheSource type="external" connectionId="1"/>
  <cacheFields count="3">
    <cacheField name="[customers].[City].[City]" caption="City" numFmtId="0" hierarchy="15" level="1">
      <sharedItems count="3">
        <s v="Cincinnati"/>
        <s v="Cleveland"/>
        <s v="Columbus"/>
      </sharedItems>
    </cacheField>
    <cacheField name="[Measures].[No.of calls]" caption="No.of calls" numFmtId="0" hierarchy="17" level="32767"/>
    <cacheField name="[customers].[Gedner].[Gedner]" caption="Gedner" numFmtId="0" hierarchy="13" level="1">
      <sharedItems count="2">
        <s v="Female"/>
        <s v="Male"/>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1"/>
      </fieldsUsage>
    </cacheHierarchy>
    <cacheHierarchy uniqueName="[Measures].[Amount]" caption="Amount" measure="1" displayFolder="" measureGroup="calls" count="0"/>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636778125001" backgroundQuery="1" createdVersion="7" refreshedVersion="7" minRefreshableVersion="3" recordCount="0" supportSubquery="1" supportAdvancedDrill="1" xr:uid="{4388DD6A-04FE-49FF-8459-D61C76F358F8}">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Measures].[Amount]" caption="Amount" numFmtId="0" hierarchy="18" level="32767"/>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cacheHierarchy uniqueName="[Measures].[Amount]" caption="Amount" measure="1" displayFolder="" measureGroup="calls" count="0" oneField="1">
      <fieldsUsage count="1">
        <fieldUsage x="2"/>
      </fieldsUsage>
    </cacheHierarchy>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69377002315" backgroundQuery="1" createdVersion="7" refreshedVersion="7" minRefreshableVersion="3" recordCount="0" supportSubquery="1" supportAdvancedDrill="1" xr:uid="{4BAB68B2-D94B-429C-B333-F2B6B4AFA394}">
  <cacheSource type="external" connectionId="1"/>
  <cacheFields count="6">
    <cacheField name="[Measures].[No.of calls]" caption="No.of calls" numFmtId="0" hierarchy="17" level="32767"/>
    <cacheField name="[Measures].[Amount]" caption="Amount" numFmtId="0" hierarchy="18" level="32767"/>
    <cacheField name="[Measures].[Time]" caption="Time" numFmtId="0" hierarchy="19" level="32767"/>
    <cacheField name="[Measures].[Rating]" caption="Rating" numFmtId="0" hierarchy="20" level="32767"/>
    <cacheField name="[Measures].[top rating]" caption="top rating"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0"/>
      </fieldsUsage>
    </cacheHierarchy>
    <cacheHierarchy uniqueName="[Measures].[Amount]" caption="Amount" measure="1" displayFolder="" measureGroup="calls" count="0" oneField="1">
      <fieldsUsage count="1">
        <fieldUsage x="1"/>
      </fieldsUsage>
    </cacheHierarchy>
    <cacheHierarchy uniqueName="[Measures].[Time]" caption="Time" measure="1" displayFolder="" measureGroup="calls" count="0" oneField="1">
      <fieldsUsage count="1">
        <fieldUsage x="2"/>
      </fieldsUsage>
    </cacheHierarchy>
    <cacheHierarchy uniqueName="[Measures].[Rating]" caption="Rating" measure="1" displayFolder="" measureGroup="calls" count="0" oneField="1">
      <fieldsUsage count="1">
        <fieldUsage x="3"/>
      </fieldsUsage>
    </cacheHierarchy>
    <cacheHierarchy uniqueName="[Measures].[top rating]" caption="top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693770601851" backgroundQuery="1" createdVersion="7" refreshedVersion="7" minRefreshableVersion="3" recordCount="0" supportSubquery="1" supportAdvancedDrill="1" xr:uid="{DB03FEDD-8C1E-410A-8D1C-DA3155E8BB4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No.of calls]" caption="No.of calls"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3"/>
      </fieldsUsage>
    </cacheHierarchy>
    <cacheHierarchy uniqueName="[Measures].[Amount]" caption="Amount" measure="1" displayFolder="" measureGroup="calls" count="0"/>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693771064813" backgroundQuery="1" createdVersion="7" refreshedVersion="7" minRefreshableVersion="3" recordCount="0" supportSubquery="1" supportAdvancedDrill="1" xr:uid="{50717336-B1C7-41FD-8C98-C088065CB359}">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No.of calls]" caption="No.of calls"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2"/>
      </fieldsUsage>
    </cacheHierarchy>
    <cacheHierarchy uniqueName="[Measures].[Amount]" caption="Amount" measure="1" displayFolder="" measureGroup="calls" count="0"/>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693771412036" backgroundQuery="1" createdVersion="7" refreshedVersion="7" minRefreshableVersion="3" recordCount="0" supportSubquery="1" supportAdvancedDrill="1" xr:uid="{3DC74D2C-EB65-4C61-9F30-55138167A99C}">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cacheHierarchy uniqueName="[Measures].[Amount]" caption="Amount" measure="1" displayFolder="" measureGroup="calls" count="0"/>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5.693771759259" backgroundQuery="1" createdVersion="7" refreshedVersion="7" minRefreshableVersion="3" recordCount="0" supportSubquery="1" supportAdvancedDrill="1" xr:uid="{7354391A-AEE8-4CC9-A51B-254A0F321615}">
  <cacheSource type="external" connectionId="1"/>
  <cacheFields count="3">
    <cacheField name="[Measures].[No.of calls]" caption="No.of calls"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No.of calls]" caption="No.of calls" measure="1" displayFolder="" measureGroup="calls" count="0" oneField="1">
      <fieldsUsage count="1">
        <fieldUsage x="0"/>
      </fieldsUsage>
    </cacheHierarchy>
    <cacheHierarchy uniqueName="[Measures].[Amount]" caption="Amount" measure="1" displayFolder="" measureGroup="calls" count="0"/>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090.790453935188" backgroundQuery="1" createdVersion="3" refreshedVersion="7" minRefreshableVersion="3" recordCount="0" supportSubquery="1" supportAdvancedDrill="1" xr:uid="{3692DB82-0EB4-4D62-8A52-CB6FE3AC307A}">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No.of calls]" caption="No.of calls" measure="1" displayFolder="" measureGroup="calls" count="0"/>
    <cacheHierarchy uniqueName="[Measures].[Amount]" caption="Amount" measure="1" displayFolder="" measureGroup="calls" count="0"/>
    <cacheHierarchy uniqueName="[Measures].[Time]" caption="Time" measure="1" displayFolder="" measureGroup="calls" count="0"/>
    <cacheHierarchy uniqueName="[Measures].[Rating]" caption="Rating" measure="1" displayFolder="" measureGroup="calls" count="0"/>
    <cacheHierarchy uniqueName="[Measures].[top rating]" caption="top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33534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51077-152C-4A36-AE72-9C69D0C04BF7}" name="rep amounts" cacheId="292"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9">
  <location ref="A110:G12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2"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3163F-E5BF-4DC2-90D4-14A4B7CEFE6C}" name="rep satisfaction" cacheId="3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9">
  <location ref="A94:B10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D94654-E3FC-48E2-8EC3-EB30E6B37112}" name="Female vs Male" cacheId="8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A80:D85"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4">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0A73C-62C0-4727-BAFD-D2DD384B31B8}" name="Selected rep" cacheId="32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5">
  <location ref="B68:B6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2A740C-825C-46C2-92A0-5BF244DCB0D9}" name="PivotTable2" cacheId="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A58:C6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4C8DA-52BA-4F6D-AF31-7DF5B6D099BE}" name="Week day calls" cacheId="3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5">
  <location ref="A43:B5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4">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6"/>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961FBE-AD98-4A20-851C-299AA5FC5C3E}" name="Summary" cacheId="6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3C78CD-A16F-4A12-8637-487BA2FF99A6}" name="Monthly calls" cacheId="3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No.of calls2" fld="4" subtotal="count" baseField="0" baseItem="0">
      <extLst>
        <ext xmlns:x14="http://schemas.microsoft.com/office/spreadsheetml/2009/9/main" uri="{E15A36E0-9728-4e99-A89B-3F7291B0FE68}">
          <x14:dataField sourceField="3" uniqueName="[__Xl2].[Measures].[No.of calls]"/>
        </ext>
      </extLst>
    </dataField>
  </dataField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1"/>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B17ACC-4FD3-4D7D-9B6E-9F50A8424AEC}" name="Repr" cacheId="3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68ADD9B-1A16-4D87-823A-BC1BC1B5F6F6}" sourceName="[calls].[Representative]">
  <pivotTables>
    <pivotTable tabId="6" name="Repr"/>
    <pivotTable tabId="6" name="Monthly calls"/>
    <pivotTable tabId="6" name="Week day calls"/>
    <pivotTable tabId="6" name="Selected rep"/>
    <pivotTable tabId="6" name="rep satisfaction"/>
  </pivotTables>
  <data>
    <olap pivotCacheId="209335348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B93CFAB-C6E9-49D0-9107-6B28A062D69F}" cache="Slicer_Representative" caption="Representative"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dataDxfId="17"/>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nd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9A5C-A6C5-403B-8EAE-8A3D932B6EC4}">
  <dimension ref="A3:M129"/>
  <sheetViews>
    <sheetView tabSelected="1" topLeftCell="A73" zoomScale="130" zoomScaleNormal="130" workbookViewId="0">
      <selection activeCell="F60" sqref="F60"/>
    </sheetView>
  </sheetViews>
  <sheetFormatPr defaultRowHeight="14.25"/>
  <cols>
    <col min="1" max="1" width="13.125" bestFit="1" customWidth="1"/>
    <col min="2" max="2" width="10.125" bestFit="1" customWidth="1"/>
    <col min="3" max="3" width="11.125" bestFit="1" customWidth="1"/>
    <col min="4" max="4" width="6.625" bestFit="1" customWidth="1"/>
    <col min="5" max="5" width="9.5" bestFit="1" customWidth="1"/>
    <col min="6" max="6" width="8.5" customWidth="1"/>
    <col min="7" max="7" width="11.5" bestFit="1" customWidth="1"/>
    <col min="8" max="8" width="8" customWidth="1"/>
    <col min="9" max="9" width="10.375" customWidth="1"/>
    <col min="10" max="11" width="4.5" bestFit="1" customWidth="1"/>
    <col min="12" max="12" width="10.875" customWidth="1"/>
    <col min="13" max="13" width="8.625" bestFit="1" customWidth="1"/>
    <col min="14" max="14" width="4.5" bestFit="1" customWidth="1"/>
    <col min="15" max="15" width="5.625" bestFit="1" customWidth="1"/>
    <col min="16" max="17" width="4.5" bestFit="1" customWidth="1"/>
    <col min="18" max="18" width="5.625" bestFit="1" customWidth="1"/>
    <col min="19" max="22" width="4.5" bestFit="1" customWidth="1"/>
    <col min="23" max="26" width="5.625" bestFit="1" customWidth="1"/>
    <col min="27" max="27" width="4.5" bestFit="1" customWidth="1"/>
    <col min="28" max="29" width="5.625" bestFit="1" customWidth="1"/>
    <col min="30" max="33" width="4.5" bestFit="1" customWidth="1"/>
    <col min="34" max="37" width="5.625" bestFit="1" customWidth="1"/>
    <col min="38" max="39" width="4.5" bestFit="1" customWidth="1"/>
    <col min="40" max="41" width="5.625" bestFit="1" customWidth="1"/>
    <col min="42" max="42" width="4.5" bestFit="1" customWidth="1"/>
    <col min="43" max="46" width="5.625" bestFit="1" customWidth="1"/>
    <col min="47" max="47" width="4.5" bestFit="1" customWidth="1"/>
    <col min="48" max="48" width="5.625" bestFit="1" customWidth="1"/>
    <col min="49" max="49" width="4.5" bestFit="1" customWidth="1"/>
    <col min="50" max="51" width="5.625" bestFit="1" customWidth="1"/>
    <col min="52" max="53" width="4.5" bestFit="1" customWidth="1"/>
    <col min="54" max="98" width="5.625" bestFit="1" customWidth="1"/>
    <col min="99" max="99" width="11.5" bestFit="1" customWidth="1"/>
  </cols>
  <sheetData>
    <row r="3" spans="1:5">
      <c r="A3" t="s">
        <v>1039</v>
      </c>
      <c r="B3" t="s">
        <v>1040</v>
      </c>
      <c r="C3" t="s">
        <v>1041</v>
      </c>
      <c r="D3" t="s">
        <v>1042</v>
      </c>
      <c r="E3" t="s">
        <v>1043</v>
      </c>
    </row>
    <row r="4" spans="1:5">
      <c r="A4" s="25">
        <v>1000</v>
      </c>
      <c r="B4" s="26">
        <v>96623</v>
      </c>
      <c r="C4" s="25">
        <v>89850</v>
      </c>
      <c r="D4" s="27">
        <v>3.8854000000000033</v>
      </c>
      <c r="E4" s="24">
        <v>307</v>
      </c>
    </row>
    <row r="9" spans="1:5">
      <c r="A9" t="s">
        <v>1039</v>
      </c>
      <c r="B9" t="s">
        <v>1040</v>
      </c>
      <c r="C9" t="s">
        <v>1041</v>
      </c>
      <c r="D9" t="s">
        <v>1042</v>
      </c>
      <c r="E9" t="s">
        <v>1043</v>
      </c>
    </row>
    <row r="10" spans="1:5">
      <c r="A10" s="25">
        <v>218</v>
      </c>
      <c r="B10" s="32">
        <v>20581</v>
      </c>
      <c r="C10" s="25">
        <v>19300</v>
      </c>
      <c r="D10" s="27">
        <v>3.8706422018348627</v>
      </c>
      <c r="E10" s="24">
        <v>74</v>
      </c>
    </row>
    <row r="22" spans="1:3">
      <c r="A22" s="28" t="s">
        <v>1044</v>
      </c>
      <c r="B22" t="s">
        <v>1039</v>
      </c>
      <c r="C22" t="s">
        <v>1058</v>
      </c>
    </row>
    <row r="23" spans="1:3">
      <c r="A23" s="29" t="s">
        <v>1046</v>
      </c>
      <c r="B23" s="25">
        <v>19</v>
      </c>
      <c r="C23" s="25">
        <v>19</v>
      </c>
    </row>
    <row r="24" spans="1:3">
      <c r="A24" s="29" t="s">
        <v>1047</v>
      </c>
      <c r="B24" s="25">
        <v>10</v>
      </c>
      <c r="C24" s="25">
        <v>10</v>
      </c>
    </row>
    <row r="25" spans="1:3">
      <c r="A25" s="29" t="s">
        <v>1048</v>
      </c>
      <c r="B25" s="25">
        <v>40</v>
      </c>
      <c r="C25" s="25">
        <v>40</v>
      </c>
    </row>
    <row r="26" spans="1:3">
      <c r="A26" s="29" t="s">
        <v>1049</v>
      </c>
      <c r="B26" s="25">
        <v>40</v>
      </c>
      <c r="C26" s="25">
        <v>40</v>
      </c>
    </row>
    <row r="27" spans="1:3">
      <c r="A27" s="29" t="s">
        <v>1050</v>
      </c>
      <c r="B27" s="25">
        <v>13</v>
      </c>
      <c r="C27" s="25">
        <v>13</v>
      </c>
    </row>
    <row r="28" spans="1:3">
      <c r="A28" s="29" t="s">
        <v>1051</v>
      </c>
      <c r="B28" s="25">
        <v>12</v>
      </c>
      <c r="C28" s="25">
        <v>12</v>
      </c>
    </row>
    <row r="29" spans="1:3">
      <c r="A29" s="29" t="s">
        <v>1052</v>
      </c>
      <c r="B29" s="25">
        <v>9</v>
      </c>
      <c r="C29" s="25">
        <v>9</v>
      </c>
    </row>
    <row r="30" spans="1:3">
      <c r="A30" s="29" t="s">
        <v>1053</v>
      </c>
      <c r="B30" s="25">
        <v>13</v>
      </c>
      <c r="C30" s="25">
        <v>13</v>
      </c>
    </row>
    <row r="31" spans="1:3">
      <c r="A31" s="29" t="s">
        <v>1054</v>
      </c>
      <c r="B31" s="25">
        <v>18</v>
      </c>
      <c r="C31" s="25">
        <v>18</v>
      </c>
    </row>
    <row r="32" spans="1:3">
      <c r="A32" s="29" t="s">
        <v>1055</v>
      </c>
      <c r="B32" s="25">
        <v>21</v>
      </c>
      <c r="C32" s="25">
        <v>21</v>
      </c>
    </row>
    <row r="33" spans="1:3">
      <c r="A33" s="29" t="s">
        <v>1056</v>
      </c>
      <c r="B33" s="25">
        <v>14</v>
      </c>
      <c r="C33" s="25">
        <v>14</v>
      </c>
    </row>
    <row r="34" spans="1:3">
      <c r="A34" s="29" t="s">
        <v>1057</v>
      </c>
      <c r="B34" s="25">
        <v>9</v>
      </c>
      <c r="C34" s="25">
        <v>9</v>
      </c>
    </row>
    <row r="35" spans="1:3">
      <c r="A35" s="29" t="s">
        <v>1045</v>
      </c>
      <c r="B35" s="25">
        <v>218</v>
      </c>
      <c r="C35" s="25">
        <v>218</v>
      </c>
    </row>
    <row r="43" spans="1:3">
      <c r="A43" s="28" t="s">
        <v>1044</v>
      </c>
      <c r="B43" t="s">
        <v>1039</v>
      </c>
    </row>
    <row r="44" spans="1:3">
      <c r="A44" s="29" t="s">
        <v>1060</v>
      </c>
      <c r="B44" s="25">
        <v>24</v>
      </c>
    </row>
    <row r="45" spans="1:3">
      <c r="A45" s="29" t="s">
        <v>1064</v>
      </c>
      <c r="B45" s="25">
        <v>44</v>
      </c>
    </row>
    <row r="46" spans="1:3">
      <c r="A46" s="29" t="s">
        <v>1065</v>
      </c>
      <c r="B46" s="25">
        <v>36</v>
      </c>
    </row>
    <row r="47" spans="1:3">
      <c r="A47" s="29" t="s">
        <v>1063</v>
      </c>
      <c r="B47" s="25">
        <v>33</v>
      </c>
    </row>
    <row r="48" spans="1:3">
      <c r="A48" s="29" t="s">
        <v>1059</v>
      </c>
      <c r="B48" s="25">
        <v>29</v>
      </c>
    </row>
    <row r="49" spans="1:13">
      <c r="A49" s="29" t="s">
        <v>1061</v>
      </c>
      <c r="B49" s="25">
        <v>24</v>
      </c>
    </row>
    <row r="50" spans="1:13">
      <c r="A50" s="29" t="s">
        <v>1062</v>
      </c>
      <c r="B50" s="25">
        <v>28</v>
      </c>
    </row>
    <row r="51" spans="1:13">
      <c r="A51" s="29" t="s">
        <v>1045</v>
      </c>
      <c r="B51" s="25">
        <v>218</v>
      </c>
    </row>
    <row r="58" spans="1:13">
      <c r="A58" s="28" t="s">
        <v>1044</v>
      </c>
      <c r="B58" t="s">
        <v>1040</v>
      </c>
      <c r="C58" t="s">
        <v>1039</v>
      </c>
      <c r="E58" t="s">
        <v>1066</v>
      </c>
      <c r="F58" t="s">
        <v>1040</v>
      </c>
      <c r="G58" t="s">
        <v>1067</v>
      </c>
      <c r="H58" t="s">
        <v>1068</v>
      </c>
      <c r="I58" t="s">
        <v>1069</v>
      </c>
    </row>
    <row r="59" spans="1:13">
      <c r="A59" s="29" t="s">
        <v>11</v>
      </c>
      <c r="B59" s="30">
        <v>18415</v>
      </c>
      <c r="C59" s="25">
        <v>189</v>
      </c>
      <c r="E59" t="str">
        <f>A59</f>
        <v>R01</v>
      </c>
      <c r="F59" s="31">
        <f>B59</f>
        <v>18415</v>
      </c>
      <c r="G59">
        <f>C59</f>
        <v>189</v>
      </c>
      <c r="H59" t="e">
        <f>IF(E59=M59,G59,NA())</f>
        <v>#N/A</v>
      </c>
      <c r="I59" t="e">
        <f>IF(E59=M59,F59,NA())</f>
        <v>#N/A</v>
      </c>
      <c r="L59" t="s">
        <v>1070</v>
      </c>
      <c r="M59" t="str">
        <f>B69</f>
        <v>R02</v>
      </c>
    </row>
    <row r="60" spans="1:13">
      <c r="A60" s="29" t="s">
        <v>9</v>
      </c>
      <c r="B60" s="30">
        <v>20581</v>
      </c>
      <c r="C60" s="25">
        <v>218</v>
      </c>
      <c r="E60" s="29" t="s">
        <v>9</v>
      </c>
      <c r="F60" s="30">
        <v>20581</v>
      </c>
      <c r="G60" s="25">
        <v>218</v>
      </c>
      <c r="H60">
        <f>IF(E60=M59,G60,NA())</f>
        <v>218</v>
      </c>
      <c r="I60">
        <f>IF(E60=M59,F60,NA())</f>
        <v>20581</v>
      </c>
    </row>
    <row r="61" spans="1:13">
      <c r="A61" s="29" t="s">
        <v>6</v>
      </c>
      <c r="B61" s="30">
        <v>20872</v>
      </c>
      <c r="C61" s="25">
        <v>207</v>
      </c>
      <c r="E61" t="str">
        <f t="shared" ref="E61:E63" si="0">A61</f>
        <v>R03</v>
      </c>
      <c r="F61" s="31">
        <f t="shared" ref="F61:G63" si="1">B61</f>
        <v>20872</v>
      </c>
      <c r="G61">
        <f t="shared" si="1"/>
        <v>207</v>
      </c>
      <c r="H61" t="e">
        <f>IF(E61=M59,G61,NA())</f>
        <v>#N/A</v>
      </c>
      <c r="I61" t="e">
        <f>IF(E61=M59,F61,NA())</f>
        <v>#N/A</v>
      </c>
    </row>
    <row r="62" spans="1:13">
      <c r="A62" s="29" t="s">
        <v>13</v>
      </c>
      <c r="B62" s="30">
        <v>16651</v>
      </c>
      <c r="C62" s="25">
        <v>186</v>
      </c>
      <c r="E62" t="str">
        <f t="shared" si="0"/>
        <v>R04</v>
      </c>
      <c r="F62" s="31">
        <f t="shared" si="1"/>
        <v>16651</v>
      </c>
      <c r="G62">
        <f t="shared" si="1"/>
        <v>186</v>
      </c>
      <c r="H62" t="e">
        <f>IF(E62=M59,G62,NA())</f>
        <v>#N/A</v>
      </c>
      <c r="I62" t="e">
        <f>IF(E62=M59,F62,NA())</f>
        <v>#N/A</v>
      </c>
    </row>
    <row r="63" spans="1:13">
      <c r="A63" s="29" t="s">
        <v>10</v>
      </c>
      <c r="B63" s="30">
        <v>20104</v>
      </c>
      <c r="C63" s="25">
        <v>200</v>
      </c>
      <c r="E63" t="str">
        <f t="shared" si="0"/>
        <v>R05</v>
      </c>
      <c r="F63" s="31">
        <f t="shared" si="1"/>
        <v>20104</v>
      </c>
      <c r="G63">
        <f t="shared" si="1"/>
        <v>200</v>
      </c>
      <c r="H63" t="e">
        <f>IF(E63=M59,G63,NA())</f>
        <v>#N/A</v>
      </c>
      <c r="I63" t="e">
        <f>IF(E63=M59,F63,NA())</f>
        <v>#N/A</v>
      </c>
    </row>
    <row r="64" spans="1:13">
      <c r="A64" s="29" t="s">
        <v>1045</v>
      </c>
      <c r="B64" s="30">
        <v>96623</v>
      </c>
      <c r="C64" s="25">
        <v>1000</v>
      </c>
    </row>
    <row r="68" spans="1:3">
      <c r="B68" s="28" t="s">
        <v>1044</v>
      </c>
    </row>
    <row r="69" spans="1:3">
      <c r="B69" s="29" t="s">
        <v>9</v>
      </c>
    </row>
    <row r="71" spans="1:3">
      <c r="A71" s="33" t="s">
        <v>1071</v>
      </c>
      <c r="B71" s="33"/>
      <c r="C71" s="33"/>
    </row>
    <row r="80" spans="1:3">
      <c r="A80" s="28" t="s">
        <v>1039</v>
      </c>
      <c r="B80" s="28" t="s">
        <v>1072</v>
      </c>
    </row>
    <row r="81" spans="1:4">
      <c r="A81" s="28" t="s">
        <v>1044</v>
      </c>
      <c r="B81" t="s">
        <v>998</v>
      </c>
      <c r="C81" t="s">
        <v>997</v>
      </c>
      <c r="D81" t="s">
        <v>1045</v>
      </c>
    </row>
    <row r="82" spans="1:4">
      <c r="A82" s="29" t="s">
        <v>1001</v>
      </c>
      <c r="B82" s="25">
        <v>144</v>
      </c>
      <c r="C82" s="25">
        <v>132</v>
      </c>
      <c r="D82" s="25">
        <v>276</v>
      </c>
    </row>
    <row r="83" spans="1:4">
      <c r="A83" s="29" t="s">
        <v>1000</v>
      </c>
      <c r="B83" s="25">
        <v>326</v>
      </c>
      <c r="C83" s="25">
        <v>63</v>
      </c>
      <c r="D83" s="25">
        <v>389</v>
      </c>
    </row>
    <row r="84" spans="1:4">
      <c r="A84" s="29" t="s">
        <v>999</v>
      </c>
      <c r="B84" s="25">
        <v>129</v>
      </c>
      <c r="C84" s="25">
        <v>206</v>
      </c>
      <c r="D84" s="25">
        <v>335</v>
      </c>
    </row>
    <row r="85" spans="1:4">
      <c r="A85" s="29" t="s">
        <v>1045</v>
      </c>
      <c r="B85" s="25">
        <v>599</v>
      </c>
      <c r="C85" s="25">
        <v>401</v>
      </c>
      <c r="D85" s="25">
        <v>1000</v>
      </c>
    </row>
    <row r="94" spans="1:4">
      <c r="A94" s="28" t="s">
        <v>1044</v>
      </c>
      <c r="B94" t="s">
        <v>1039</v>
      </c>
    </row>
    <row r="95" spans="1:4">
      <c r="A95" s="29">
        <v>1</v>
      </c>
      <c r="B95" s="25">
        <v>3</v>
      </c>
    </row>
    <row r="96" spans="1:4">
      <c r="A96" s="29">
        <v>2</v>
      </c>
      <c r="B96" s="25">
        <v>19</v>
      </c>
    </row>
    <row r="97" spans="1:7">
      <c r="A97" s="29">
        <v>3</v>
      </c>
      <c r="B97" s="25">
        <v>35</v>
      </c>
    </row>
    <row r="98" spans="1:7">
      <c r="A98" s="29">
        <v>4</v>
      </c>
      <c r="B98" s="25">
        <v>87</v>
      </c>
    </row>
    <row r="99" spans="1:7">
      <c r="A99" s="29">
        <v>5</v>
      </c>
      <c r="B99" s="25">
        <v>74</v>
      </c>
    </row>
    <row r="100" spans="1:7">
      <c r="A100" s="29" t="s">
        <v>1045</v>
      </c>
      <c r="B100" s="25">
        <v>218</v>
      </c>
    </row>
    <row r="110" spans="1:7">
      <c r="A110" s="28" t="s">
        <v>1040</v>
      </c>
      <c r="B110" s="28" t="s">
        <v>1072</v>
      </c>
    </row>
    <row r="111" spans="1:7">
      <c r="A111" s="28" t="s">
        <v>1044</v>
      </c>
      <c r="B111" t="s">
        <v>11</v>
      </c>
      <c r="C111" t="s">
        <v>9</v>
      </c>
      <c r="D111" t="s">
        <v>6</v>
      </c>
      <c r="E111" t="s">
        <v>13</v>
      </c>
      <c r="F111" t="s">
        <v>10</v>
      </c>
      <c r="G111" t="s">
        <v>1045</v>
      </c>
    </row>
    <row r="112" spans="1:7">
      <c r="A112" s="29" t="s">
        <v>1001</v>
      </c>
      <c r="B112" s="24"/>
      <c r="C112" s="24"/>
      <c r="D112" s="24"/>
      <c r="E112" s="24"/>
      <c r="F112" s="24"/>
      <c r="G112" s="24"/>
    </row>
    <row r="113" spans="1:7">
      <c r="A113" s="34" t="s">
        <v>20</v>
      </c>
      <c r="B113" s="32">
        <v>891</v>
      </c>
      <c r="C113" s="32">
        <v>1332</v>
      </c>
      <c r="D113" s="32">
        <v>1282</v>
      </c>
      <c r="E113" s="32">
        <v>739</v>
      </c>
      <c r="F113" s="32">
        <v>560</v>
      </c>
      <c r="G113" s="32">
        <v>4804</v>
      </c>
    </row>
    <row r="114" spans="1:7">
      <c r="A114" s="34" t="s">
        <v>12</v>
      </c>
      <c r="B114" s="32">
        <v>1991</v>
      </c>
      <c r="C114" s="32">
        <v>1886</v>
      </c>
      <c r="D114" s="32">
        <v>1206</v>
      </c>
      <c r="E114" s="32">
        <v>884</v>
      </c>
      <c r="F114" s="32">
        <v>1722</v>
      </c>
      <c r="G114" s="32">
        <v>7689</v>
      </c>
    </row>
    <row r="115" spans="1:7">
      <c r="A115" s="34" t="s">
        <v>8</v>
      </c>
      <c r="B115" s="32">
        <v>1163</v>
      </c>
      <c r="C115" s="32">
        <v>1180</v>
      </c>
      <c r="D115" s="32">
        <v>1616</v>
      </c>
      <c r="E115" s="32">
        <v>1043</v>
      </c>
      <c r="F115" s="32">
        <v>1747</v>
      </c>
      <c r="G115" s="32">
        <v>6749</v>
      </c>
    </row>
    <row r="116" spans="1:7">
      <c r="A116" s="34" t="s">
        <v>16</v>
      </c>
      <c r="B116" s="32">
        <v>1438</v>
      </c>
      <c r="C116" s="32">
        <v>1616</v>
      </c>
      <c r="D116" s="32">
        <v>866</v>
      </c>
      <c r="E116" s="32">
        <v>829</v>
      </c>
      <c r="F116" s="32">
        <v>2070</v>
      </c>
      <c r="G116" s="32">
        <v>6819</v>
      </c>
    </row>
    <row r="117" spans="1:7">
      <c r="A117" s="29" t="s">
        <v>1000</v>
      </c>
      <c r="B117" s="24"/>
      <c r="C117" s="24"/>
      <c r="D117" s="24"/>
      <c r="E117" s="24"/>
      <c r="F117" s="24"/>
      <c r="G117" s="24"/>
    </row>
    <row r="118" spans="1:7">
      <c r="A118" s="34" t="s">
        <v>24</v>
      </c>
      <c r="B118" s="32">
        <v>1233</v>
      </c>
      <c r="C118" s="32">
        <v>223</v>
      </c>
      <c r="D118" s="32">
        <v>1680</v>
      </c>
      <c r="E118" s="32">
        <v>990</v>
      </c>
      <c r="F118" s="32">
        <v>1508</v>
      </c>
      <c r="G118" s="32">
        <v>5634</v>
      </c>
    </row>
    <row r="119" spans="1:7">
      <c r="A119" s="34" t="s">
        <v>15</v>
      </c>
      <c r="B119" s="32">
        <v>1598</v>
      </c>
      <c r="C119" s="32">
        <v>1907</v>
      </c>
      <c r="D119" s="32">
        <v>869</v>
      </c>
      <c r="E119" s="32">
        <v>1426</v>
      </c>
      <c r="F119" s="32">
        <v>1416</v>
      </c>
      <c r="G119" s="32">
        <v>7216</v>
      </c>
    </row>
    <row r="120" spans="1:7">
      <c r="A120" s="34" t="s">
        <v>5</v>
      </c>
      <c r="B120" s="32">
        <v>900</v>
      </c>
      <c r="C120" s="32">
        <v>1016</v>
      </c>
      <c r="D120" s="32">
        <v>960</v>
      </c>
      <c r="E120" s="32">
        <v>940</v>
      </c>
      <c r="F120" s="32">
        <v>1193</v>
      </c>
      <c r="G120" s="32">
        <v>5009</v>
      </c>
    </row>
    <row r="121" spans="1:7">
      <c r="A121" s="34" t="s">
        <v>18</v>
      </c>
      <c r="B121" s="32">
        <v>900</v>
      </c>
      <c r="C121" s="32">
        <v>1470</v>
      </c>
      <c r="D121" s="32">
        <v>1617</v>
      </c>
      <c r="E121" s="32">
        <v>1314</v>
      </c>
      <c r="F121" s="32">
        <v>941</v>
      </c>
      <c r="G121" s="32">
        <v>6242</v>
      </c>
    </row>
    <row r="122" spans="1:7">
      <c r="A122" s="34" t="s">
        <v>14</v>
      </c>
      <c r="B122" s="32">
        <v>1255</v>
      </c>
      <c r="C122" s="32">
        <v>516</v>
      </c>
      <c r="D122" s="32">
        <v>1874</v>
      </c>
      <c r="E122" s="32">
        <v>1863</v>
      </c>
      <c r="F122" s="32">
        <v>1722</v>
      </c>
      <c r="G122" s="32">
        <v>7230</v>
      </c>
    </row>
    <row r="123" spans="1:7">
      <c r="A123" s="34" t="s">
        <v>19</v>
      </c>
      <c r="B123" s="32">
        <v>1138</v>
      </c>
      <c r="C123" s="32">
        <v>1898</v>
      </c>
      <c r="D123" s="32">
        <v>1482</v>
      </c>
      <c r="E123" s="32">
        <v>846</v>
      </c>
      <c r="F123" s="32">
        <v>1154</v>
      </c>
      <c r="G123" s="32">
        <v>6518</v>
      </c>
    </row>
    <row r="124" spans="1:7">
      <c r="A124" s="29" t="s">
        <v>999</v>
      </c>
      <c r="B124" s="24"/>
      <c r="C124" s="24"/>
      <c r="D124" s="24"/>
      <c r="E124" s="24"/>
      <c r="F124" s="24"/>
      <c r="G124" s="24"/>
    </row>
    <row r="125" spans="1:7">
      <c r="A125" s="34" t="s">
        <v>17</v>
      </c>
      <c r="B125" s="32">
        <v>1655</v>
      </c>
      <c r="C125" s="32">
        <v>805</v>
      </c>
      <c r="D125" s="32">
        <v>2263</v>
      </c>
      <c r="E125" s="32">
        <v>987</v>
      </c>
      <c r="F125" s="32">
        <v>1075</v>
      </c>
      <c r="G125" s="32">
        <v>6785</v>
      </c>
    </row>
    <row r="126" spans="1:7">
      <c r="A126" s="34" t="s">
        <v>23</v>
      </c>
      <c r="B126" s="32">
        <v>1104</v>
      </c>
      <c r="C126" s="32">
        <v>2280</v>
      </c>
      <c r="D126" s="32">
        <v>1445</v>
      </c>
      <c r="E126" s="32">
        <v>1722</v>
      </c>
      <c r="F126" s="32">
        <v>1196</v>
      </c>
      <c r="G126" s="32">
        <v>7747</v>
      </c>
    </row>
    <row r="127" spans="1:7">
      <c r="A127" s="34" t="s">
        <v>7</v>
      </c>
      <c r="B127" s="32">
        <v>372</v>
      </c>
      <c r="C127" s="32">
        <v>1818</v>
      </c>
      <c r="D127" s="32">
        <v>1346</v>
      </c>
      <c r="E127" s="32">
        <v>1156</v>
      </c>
      <c r="F127" s="32">
        <v>1484</v>
      </c>
      <c r="G127" s="32">
        <v>6176</v>
      </c>
    </row>
    <row r="128" spans="1:7">
      <c r="A128" s="34" t="s">
        <v>22</v>
      </c>
      <c r="B128" s="32">
        <v>1415</v>
      </c>
      <c r="C128" s="32">
        <v>1271</v>
      </c>
      <c r="D128" s="32">
        <v>1214</v>
      </c>
      <c r="E128" s="32">
        <v>1135</v>
      </c>
      <c r="F128" s="32">
        <v>1566</v>
      </c>
      <c r="G128" s="32">
        <v>6601</v>
      </c>
    </row>
    <row r="129" spans="1:7">
      <c r="A129" s="34" t="s">
        <v>21</v>
      </c>
      <c r="B129" s="32">
        <v>1362</v>
      </c>
      <c r="C129" s="32">
        <v>1363</v>
      </c>
      <c r="D129" s="32">
        <v>1152</v>
      </c>
      <c r="E129" s="32">
        <v>777</v>
      </c>
      <c r="F129" s="32">
        <v>750</v>
      </c>
      <c r="G129" s="32">
        <v>5404</v>
      </c>
    </row>
  </sheetData>
  <mergeCells count="1">
    <mergeCell ref="A71:C71"/>
  </mergeCells>
  <pageMargins left="0.7" right="0.7" top="0.75" bottom="0.75" header="0.3" footer="0.3"/>
  <pageSetup paperSize="9" orientation="portrait" horizontalDpi="0" verticalDpi="0"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R4" sqref="R4"/>
    </sheetView>
  </sheetViews>
  <sheetFormatPr defaultRowHeight="14.25"/>
  <cols>
    <col min="1" max="1" width="3.25" customWidth="1"/>
    <col min="2" max="2" width="14.625" customWidth="1"/>
    <col min="3" max="3" width="12.875" customWidth="1"/>
    <col min="4" max="4" width="16.625" style="20"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1002</v>
      </c>
      <c r="D1" s="19"/>
    </row>
    <row r="2" spans="2:20">
      <c r="R2" s="1"/>
    </row>
    <row r="3" spans="2:20" ht="15">
      <c r="B3" s="14" t="s">
        <v>25</v>
      </c>
      <c r="C3" s="14" t="s">
        <v>0</v>
      </c>
      <c r="D3" s="21" t="s">
        <v>1</v>
      </c>
      <c r="E3" s="15" t="s">
        <v>3</v>
      </c>
      <c r="F3" s="15" t="s">
        <v>4</v>
      </c>
      <c r="G3" s="22" t="s">
        <v>2</v>
      </c>
      <c r="H3" s="14" t="s">
        <v>994</v>
      </c>
      <c r="I3" t="s">
        <v>1035</v>
      </c>
      <c r="J3" t="s">
        <v>1036</v>
      </c>
      <c r="K3" t="s">
        <v>1037</v>
      </c>
      <c r="L3" t="s">
        <v>1038</v>
      </c>
      <c r="Q3" s="8" t="s">
        <v>0</v>
      </c>
      <c r="R3" s="9" t="s">
        <v>1073</v>
      </c>
      <c r="S3" s="9" t="s">
        <v>995</v>
      </c>
      <c r="T3" s="10" t="s">
        <v>996</v>
      </c>
    </row>
    <row r="4" spans="2:20">
      <c r="B4" t="s">
        <v>26</v>
      </c>
      <c r="C4" t="s">
        <v>20</v>
      </c>
      <c r="D4" s="20">
        <v>116</v>
      </c>
      <c r="E4" s="16" t="s">
        <v>10</v>
      </c>
      <c r="F4" s="17">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c r="B5" t="s">
        <v>27</v>
      </c>
      <c r="C5" t="s">
        <v>12</v>
      </c>
      <c r="D5" s="20">
        <v>119</v>
      </c>
      <c r="E5" s="16" t="s">
        <v>10</v>
      </c>
      <c r="F5" s="17">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c r="B6" t="s">
        <v>28</v>
      </c>
      <c r="C6" t="s">
        <v>23</v>
      </c>
      <c r="D6" s="20">
        <v>68</v>
      </c>
      <c r="E6" s="16" t="s">
        <v>9</v>
      </c>
      <c r="F6" s="17">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c r="B7" t="s">
        <v>29</v>
      </c>
      <c r="C7" t="s">
        <v>21</v>
      </c>
      <c r="D7" s="20">
        <v>119</v>
      </c>
      <c r="E7" s="16" t="s">
        <v>9</v>
      </c>
      <c r="F7" s="17">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c r="B8" t="s">
        <v>30</v>
      </c>
      <c r="C8" t="s">
        <v>8</v>
      </c>
      <c r="D8" s="20">
        <v>128</v>
      </c>
      <c r="E8" s="16" t="s">
        <v>11</v>
      </c>
      <c r="F8" s="17">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c r="B9" t="s">
        <v>31</v>
      </c>
      <c r="C9" t="s">
        <v>8</v>
      </c>
      <c r="D9" s="20">
        <v>49</v>
      </c>
      <c r="E9" s="16" t="s">
        <v>9</v>
      </c>
      <c r="F9" s="17">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c r="B10" t="s">
        <v>32</v>
      </c>
      <c r="C10" t="s">
        <v>15</v>
      </c>
      <c r="D10" s="20">
        <v>84</v>
      </c>
      <c r="E10" s="16" t="s">
        <v>10</v>
      </c>
      <c r="F10" s="17">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c r="B11" t="s">
        <v>33</v>
      </c>
      <c r="C11" t="s">
        <v>20</v>
      </c>
      <c r="D11" s="20">
        <v>103</v>
      </c>
      <c r="E11" s="16" t="s">
        <v>13</v>
      </c>
      <c r="F11" s="17">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c r="B12" t="s">
        <v>34</v>
      </c>
      <c r="C12" t="s">
        <v>23</v>
      </c>
      <c r="D12" s="20">
        <v>31</v>
      </c>
      <c r="E12" s="16" t="s">
        <v>9</v>
      </c>
      <c r="F12" s="17">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c r="B13" t="s">
        <v>35</v>
      </c>
      <c r="C13" t="s">
        <v>18</v>
      </c>
      <c r="D13" s="20">
        <v>44</v>
      </c>
      <c r="E13" s="16" t="s">
        <v>6</v>
      </c>
      <c r="F13" s="17">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c r="B14" t="s">
        <v>36</v>
      </c>
      <c r="C14" t="s">
        <v>8</v>
      </c>
      <c r="D14" s="20">
        <v>102</v>
      </c>
      <c r="E14" s="16" t="s">
        <v>9</v>
      </c>
      <c r="F14" s="17">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c r="B15" t="s">
        <v>37</v>
      </c>
      <c r="C15" t="s">
        <v>14</v>
      </c>
      <c r="D15" s="20">
        <v>135</v>
      </c>
      <c r="E15" s="16" t="s">
        <v>10</v>
      </c>
      <c r="F15" s="17">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c r="B16" t="s">
        <v>38</v>
      </c>
      <c r="C16" t="s">
        <v>24</v>
      </c>
      <c r="D16" s="20">
        <v>98</v>
      </c>
      <c r="E16" s="16" t="s">
        <v>9</v>
      </c>
      <c r="F16" s="17">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c r="B17" t="s">
        <v>39</v>
      </c>
      <c r="C17" t="s">
        <v>18</v>
      </c>
      <c r="D17" s="20">
        <v>139</v>
      </c>
      <c r="E17" s="16" t="s">
        <v>9</v>
      </c>
      <c r="F17" s="17">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c r="B18" t="s">
        <v>40</v>
      </c>
      <c r="C18" t="s">
        <v>14</v>
      </c>
      <c r="D18" s="20">
        <v>48</v>
      </c>
      <c r="E18" s="16" t="s">
        <v>11</v>
      </c>
      <c r="F18" s="17">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8" t="s">
        <v>998</v>
      </c>
      <c r="S18" s="12">
        <v>43</v>
      </c>
      <c r="T18" s="13" t="s">
        <v>1000</v>
      </c>
    </row>
    <row r="19" spans="2:20">
      <c r="B19" t="s">
        <v>41</v>
      </c>
      <c r="C19" t="s">
        <v>18</v>
      </c>
      <c r="D19" s="20">
        <v>176</v>
      </c>
      <c r="E19" s="16" t="s">
        <v>10</v>
      </c>
      <c r="F19" s="17">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s="20">
        <v>99</v>
      </c>
      <c r="E20" s="16" t="s">
        <v>11</v>
      </c>
      <c r="F20" s="17">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s="20">
        <v>28</v>
      </c>
      <c r="E21" s="16" t="s">
        <v>6</v>
      </c>
      <c r="F21" s="17">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s="20">
        <v>54</v>
      </c>
      <c r="E22" s="16" t="s">
        <v>9</v>
      </c>
      <c r="F22" s="17">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s="20">
        <v>48</v>
      </c>
      <c r="E23" s="16" t="s">
        <v>10</v>
      </c>
      <c r="F23" s="17">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s="20">
        <v>128</v>
      </c>
      <c r="E24" s="16" t="s">
        <v>10</v>
      </c>
      <c r="F24" s="17">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s="20">
        <v>38</v>
      </c>
      <c r="E25" s="16" t="s">
        <v>13</v>
      </c>
      <c r="F25" s="17">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s="20">
        <v>67</v>
      </c>
      <c r="E26" s="16" t="s">
        <v>13</v>
      </c>
      <c r="F26" s="17">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s="20">
        <v>58</v>
      </c>
      <c r="E27" s="16" t="s">
        <v>9</v>
      </c>
      <c r="F27" s="17">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s="20">
        <v>54</v>
      </c>
      <c r="E28" s="16" t="s">
        <v>11</v>
      </c>
      <c r="F28" s="17">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s="20">
        <v>28</v>
      </c>
      <c r="E29" s="16" t="s">
        <v>10</v>
      </c>
      <c r="F29" s="17">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s="20">
        <v>73</v>
      </c>
      <c r="E30" s="16" t="s">
        <v>10</v>
      </c>
      <c r="F30" s="17">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s="20">
        <v>81</v>
      </c>
      <c r="E31" s="16" t="s">
        <v>10</v>
      </c>
      <c r="F31" s="17">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s="20">
        <v>31</v>
      </c>
      <c r="E32" s="16" t="s">
        <v>13</v>
      </c>
      <c r="F32" s="17">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s="20">
        <v>155</v>
      </c>
      <c r="E33" s="16" t="s">
        <v>11</v>
      </c>
      <c r="F33" s="17">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s="20">
        <v>80</v>
      </c>
      <c r="E34" s="16" t="s">
        <v>10</v>
      </c>
      <c r="F34" s="17">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s="20">
        <v>82</v>
      </c>
      <c r="E35" s="16" t="s">
        <v>10</v>
      </c>
      <c r="F35" s="17">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s="20">
        <v>29</v>
      </c>
      <c r="E36" s="16" t="s">
        <v>11</v>
      </c>
      <c r="F36" s="17">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s="20">
        <v>160</v>
      </c>
      <c r="E37" s="16" t="s">
        <v>9</v>
      </c>
      <c r="F37" s="17">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s="20">
        <v>105</v>
      </c>
      <c r="E38" s="16" t="s">
        <v>10</v>
      </c>
      <c r="F38" s="17">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s="20">
        <v>75</v>
      </c>
      <c r="E39" s="16" t="s">
        <v>6</v>
      </c>
      <c r="F39" s="17">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s="20">
        <v>94</v>
      </c>
      <c r="E40" s="16" t="s">
        <v>6</v>
      </c>
      <c r="F40" s="17">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s="20">
        <v>90</v>
      </c>
      <c r="E41" s="16" t="s">
        <v>9</v>
      </c>
      <c r="F41" s="17">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s="20">
        <v>81</v>
      </c>
      <c r="E42" s="16" t="s">
        <v>13</v>
      </c>
      <c r="F42" s="17">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s="20">
        <v>106</v>
      </c>
      <c r="E43" s="16" t="s">
        <v>10</v>
      </c>
      <c r="F43" s="17">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s="20">
        <v>74</v>
      </c>
      <c r="E44" s="16" t="s">
        <v>13</v>
      </c>
      <c r="F44" s="17">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s="20">
        <v>105</v>
      </c>
      <c r="E45" s="16" t="s">
        <v>9</v>
      </c>
      <c r="F45" s="17">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s="20">
        <v>89</v>
      </c>
      <c r="E46" s="16" t="s">
        <v>10</v>
      </c>
      <c r="F46" s="17">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s="20">
        <v>132</v>
      </c>
      <c r="E47" s="16" t="s">
        <v>6</v>
      </c>
      <c r="F47" s="17">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s="20">
        <v>105</v>
      </c>
      <c r="E48" s="16" t="s">
        <v>11</v>
      </c>
      <c r="F48" s="17">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s="20">
        <v>13</v>
      </c>
      <c r="E49" s="16" t="s">
        <v>6</v>
      </c>
      <c r="F49" s="17">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s="20">
        <v>131</v>
      </c>
      <c r="E50" s="16" t="s">
        <v>11</v>
      </c>
      <c r="F50" s="17">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s="20">
        <v>104</v>
      </c>
      <c r="E51" s="16" t="s">
        <v>10</v>
      </c>
      <c r="F51" s="17">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s="20">
        <v>90</v>
      </c>
      <c r="E52" s="16" t="s">
        <v>9</v>
      </c>
      <c r="F52" s="17">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s="20">
        <v>37</v>
      </c>
      <c r="E53" s="16" t="s">
        <v>9</v>
      </c>
      <c r="F53" s="17">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s="20">
        <v>149</v>
      </c>
      <c r="E54" s="16" t="s">
        <v>11</v>
      </c>
      <c r="F54" s="17">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s="20">
        <v>100</v>
      </c>
      <c r="E55" s="16" t="s">
        <v>13</v>
      </c>
      <c r="F55" s="17">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s="20">
        <v>79</v>
      </c>
      <c r="E56" s="16" t="s">
        <v>6</v>
      </c>
      <c r="F56" s="17">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s="20">
        <v>157</v>
      </c>
      <c r="E57" s="16" t="s">
        <v>11</v>
      </c>
      <c r="F57" s="17">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s="20">
        <v>59</v>
      </c>
      <c r="E58" s="16" t="s">
        <v>10</v>
      </c>
      <c r="F58" s="17">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s="20">
        <v>83</v>
      </c>
      <c r="E59" s="16" t="s">
        <v>11</v>
      </c>
      <c r="F59" s="17">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s="20">
        <v>58</v>
      </c>
      <c r="E60" s="16" t="s">
        <v>9</v>
      </c>
      <c r="F60" s="17">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s="20">
        <v>118</v>
      </c>
      <c r="E61" s="16" t="s">
        <v>9</v>
      </c>
      <c r="F61" s="17">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s="20">
        <v>63</v>
      </c>
      <c r="E62" s="16" t="s">
        <v>10</v>
      </c>
      <c r="F62" s="17">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s="20">
        <v>95</v>
      </c>
      <c r="E63" s="16" t="s">
        <v>9</v>
      </c>
      <c r="F63" s="17">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s="20">
        <v>74</v>
      </c>
      <c r="E64" s="16" t="s">
        <v>11</v>
      </c>
      <c r="F64" s="17">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s="20">
        <v>130</v>
      </c>
      <c r="E65" s="16" t="s">
        <v>13</v>
      </c>
      <c r="F65" s="17">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s="20">
        <v>110</v>
      </c>
      <c r="E66" s="16" t="s">
        <v>6</v>
      </c>
      <c r="F66" s="17">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s="20">
        <v>71</v>
      </c>
      <c r="E67" s="16" t="s">
        <v>10</v>
      </c>
      <c r="F67" s="17">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s="20">
        <v>147</v>
      </c>
      <c r="E68" s="16" t="s">
        <v>13</v>
      </c>
      <c r="F68" s="17">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s="20">
        <v>69</v>
      </c>
      <c r="E69" s="16" t="s">
        <v>9</v>
      </c>
      <c r="F69" s="17">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s="20">
        <v>50</v>
      </c>
      <c r="E70" s="16" t="s">
        <v>10</v>
      </c>
      <c r="F70" s="17">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s="20">
        <v>124</v>
      </c>
      <c r="E71" s="16" t="s">
        <v>13</v>
      </c>
      <c r="F71" s="17">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s="20">
        <v>81</v>
      </c>
      <c r="E72" s="16" t="s">
        <v>11</v>
      </c>
      <c r="F72" s="17">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s="20">
        <v>141</v>
      </c>
      <c r="E73" s="16" t="s">
        <v>6</v>
      </c>
      <c r="F73" s="17">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s="20">
        <v>168</v>
      </c>
      <c r="E74" s="16" t="s">
        <v>6</v>
      </c>
      <c r="F74" s="17">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s="20">
        <v>101</v>
      </c>
      <c r="E75" s="16" t="s">
        <v>11</v>
      </c>
      <c r="F75" s="17">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s="20">
        <v>67</v>
      </c>
      <c r="E76" s="16" t="s">
        <v>11</v>
      </c>
      <c r="F76" s="17">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s="20">
        <v>114</v>
      </c>
      <c r="E77" s="16" t="s">
        <v>6</v>
      </c>
      <c r="F77" s="17">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s="20">
        <v>42</v>
      </c>
      <c r="E78" s="16" t="s">
        <v>11</v>
      </c>
      <c r="F78" s="17">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s="20">
        <v>69</v>
      </c>
      <c r="E79" s="16" t="s">
        <v>6</v>
      </c>
      <c r="F79" s="17">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s="20">
        <v>145</v>
      </c>
      <c r="E80" s="16" t="s">
        <v>9</v>
      </c>
      <c r="F80" s="17">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s="20">
        <v>43</v>
      </c>
      <c r="E81" s="16" t="s">
        <v>6</v>
      </c>
      <c r="F81" s="17">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s="20">
        <v>62</v>
      </c>
      <c r="E82" s="16" t="s">
        <v>10</v>
      </c>
      <c r="F82" s="17">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s="20">
        <v>79</v>
      </c>
      <c r="E83" s="16" t="s">
        <v>6</v>
      </c>
      <c r="F83" s="17">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s="20">
        <v>45</v>
      </c>
      <c r="E84" s="16" t="s">
        <v>13</v>
      </c>
      <c r="F84" s="17">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s="20">
        <v>137</v>
      </c>
      <c r="E85" s="16" t="s">
        <v>6</v>
      </c>
      <c r="F85" s="17">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s="20">
        <v>109</v>
      </c>
      <c r="E86" s="16" t="s">
        <v>10</v>
      </c>
      <c r="F86" s="17">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s="20">
        <v>78</v>
      </c>
      <c r="E87" s="16" t="s">
        <v>10</v>
      </c>
      <c r="F87" s="17">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s="20">
        <v>137</v>
      </c>
      <c r="E88" s="16" t="s">
        <v>13</v>
      </c>
      <c r="F88" s="17">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s="20">
        <v>99</v>
      </c>
      <c r="E89" s="16" t="s">
        <v>10</v>
      </c>
      <c r="F89" s="17">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s="20">
        <v>100</v>
      </c>
      <c r="E90" s="16" t="s">
        <v>10</v>
      </c>
      <c r="F90" s="17">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s="20">
        <v>47</v>
      </c>
      <c r="E91" s="16" t="s">
        <v>9</v>
      </c>
      <c r="F91" s="17">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s="20">
        <v>87</v>
      </c>
      <c r="E92" s="16" t="s">
        <v>11</v>
      </c>
      <c r="F92" s="17">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s="20">
        <v>143</v>
      </c>
      <c r="E93" s="16" t="s">
        <v>11</v>
      </c>
      <c r="F93" s="17">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s="20">
        <v>84</v>
      </c>
      <c r="E94" s="16" t="s">
        <v>10</v>
      </c>
      <c r="F94" s="17">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s="20">
        <v>55</v>
      </c>
      <c r="E95" s="16" t="s">
        <v>11</v>
      </c>
      <c r="F95" s="17">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s="20">
        <v>135</v>
      </c>
      <c r="E96" s="16" t="s">
        <v>13</v>
      </c>
      <c r="F96" s="17">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s="20">
        <v>152</v>
      </c>
      <c r="E97" s="16" t="s">
        <v>9</v>
      </c>
      <c r="F97" s="17">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s="20">
        <v>132</v>
      </c>
      <c r="E98" s="16" t="s">
        <v>9</v>
      </c>
      <c r="F98" s="17">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s="20">
        <v>60</v>
      </c>
      <c r="E99" s="16" t="s">
        <v>10</v>
      </c>
      <c r="F99" s="17">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s="20">
        <v>95</v>
      </c>
      <c r="E100" s="16" t="s">
        <v>9</v>
      </c>
      <c r="F100" s="17">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s="20">
        <v>96</v>
      </c>
      <c r="E101" s="16" t="s">
        <v>6</v>
      </c>
      <c r="F101" s="17">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s="20">
        <v>45</v>
      </c>
      <c r="E102" s="16" t="s">
        <v>10</v>
      </c>
      <c r="F102" s="17">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s="20">
        <v>132</v>
      </c>
      <c r="E103" s="16" t="s">
        <v>6</v>
      </c>
      <c r="F103" s="17">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s="20">
        <v>95</v>
      </c>
      <c r="E104" s="16" t="s">
        <v>10</v>
      </c>
      <c r="F104" s="17">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s="20">
        <v>131</v>
      </c>
      <c r="E105" s="16" t="s">
        <v>11</v>
      </c>
      <c r="F105" s="17">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s="20">
        <v>67</v>
      </c>
      <c r="E106" s="16" t="s">
        <v>13</v>
      </c>
      <c r="F106" s="17">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s="20">
        <v>111</v>
      </c>
      <c r="E107" s="16" t="s">
        <v>11</v>
      </c>
      <c r="F107" s="17">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s="20">
        <v>78</v>
      </c>
      <c r="E108" s="16" t="s">
        <v>9</v>
      </c>
      <c r="F108" s="17">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s="20">
        <v>28</v>
      </c>
      <c r="E109" s="16" t="s">
        <v>6</v>
      </c>
      <c r="F109" s="17">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s="20">
        <v>127</v>
      </c>
      <c r="E110" s="16" t="s">
        <v>13</v>
      </c>
      <c r="F110" s="17">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s="20">
        <v>137</v>
      </c>
      <c r="E111" s="16" t="s">
        <v>11</v>
      </c>
      <c r="F111" s="17">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s="20">
        <v>76</v>
      </c>
      <c r="E112" s="16" t="s">
        <v>6</v>
      </c>
      <c r="F112" s="17">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s="20">
        <v>80</v>
      </c>
      <c r="E113" s="16" t="s">
        <v>13</v>
      </c>
      <c r="F113" s="17">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s="20">
        <v>95</v>
      </c>
      <c r="E114" s="16" t="s">
        <v>9</v>
      </c>
      <c r="F114" s="17">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s="20">
        <v>30</v>
      </c>
      <c r="E115" s="16" t="s">
        <v>6</v>
      </c>
      <c r="F115" s="17">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s="20">
        <v>19</v>
      </c>
      <c r="E116" s="16" t="s">
        <v>11</v>
      </c>
      <c r="F116" s="17">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s="20">
        <v>38</v>
      </c>
      <c r="E117" s="16" t="s">
        <v>13</v>
      </c>
      <c r="F117" s="17">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s="20">
        <v>55</v>
      </c>
      <c r="E118" s="16" t="s">
        <v>11</v>
      </c>
      <c r="F118" s="17">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s="20">
        <v>27</v>
      </c>
      <c r="E119" s="16" t="s">
        <v>6</v>
      </c>
      <c r="F119" s="17">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s="20">
        <v>32</v>
      </c>
      <c r="E120" s="16" t="s">
        <v>6</v>
      </c>
      <c r="F120" s="17">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s="20">
        <v>116</v>
      </c>
      <c r="E121" s="16" t="s">
        <v>10</v>
      </c>
      <c r="F121" s="17">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s="20">
        <v>99</v>
      </c>
      <c r="E122" s="16" t="s">
        <v>9</v>
      </c>
      <c r="F122" s="17">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s="20">
        <v>75</v>
      </c>
      <c r="E123" s="16" t="s">
        <v>6</v>
      </c>
      <c r="F123" s="17">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s="20">
        <v>57</v>
      </c>
      <c r="E124" s="16" t="s">
        <v>10</v>
      </c>
      <c r="F124" s="17">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s="20">
        <v>155</v>
      </c>
      <c r="E125" s="16" t="s">
        <v>10</v>
      </c>
      <c r="F125" s="17">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s="20">
        <v>68</v>
      </c>
      <c r="E126" s="16" t="s">
        <v>9</v>
      </c>
      <c r="F126" s="17">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s="20">
        <v>95</v>
      </c>
      <c r="E127" s="16" t="s">
        <v>9</v>
      </c>
      <c r="F127" s="17">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s="20">
        <v>65</v>
      </c>
      <c r="E128" s="16" t="s">
        <v>10</v>
      </c>
      <c r="F128" s="17">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s="20">
        <v>114</v>
      </c>
      <c r="E129" s="16" t="s">
        <v>11</v>
      </c>
      <c r="F129" s="17">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s="20">
        <v>155</v>
      </c>
      <c r="E130" s="16" t="s">
        <v>11</v>
      </c>
      <c r="F130" s="17">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s="20">
        <v>114</v>
      </c>
      <c r="E131" s="16" t="s">
        <v>10</v>
      </c>
      <c r="F131" s="17">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s="20">
        <v>130</v>
      </c>
      <c r="E132" s="16" t="s">
        <v>13</v>
      </c>
      <c r="F132" s="17">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s="20">
        <v>89</v>
      </c>
      <c r="E133" s="16" t="s">
        <v>10</v>
      </c>
      <c r="F133" s="17">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s="20">
        <v>61</v>
      </c>
      <c r="E134" s="16" t="s">
        <v>6</v>
      </c>
      <c r="F134" s="17">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s="20">
        <v>154</v>
      </c>
      <c r="E135" s="16" t="s">
        <v>11</v>
      </c>
      <c r="F135" s="17">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s="20">
        <v>115</v>
      </c>
      <c r="E136" s="16" t="s">
        <v>13</v>
      </c>
      <c r="F136" s="17">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s="20">
        <v>138</v>
      </c>
      <c r="E137" s="16" t="s">
        <v>9</v>
      </c>
      <c r="F137" s="17">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s="20">
        <v>153</v>
      </c>
      <c r="E138" s="16" t="s">
        <v>10</v>
      </c>
      <c r="F138" s="17">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s="20">
        <v>61</v>
      </c>
      <c r="E139" s="16" t="s">
        <v>6</v>
      </c>
      <c r="F139" s="17">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s="20">
        <v>62</v>
      </c>
      <c r="E140" s="16" t="s">
        <v>10</v>
      </c>
      <c r="F140" s="17">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s="20">
        <v>151</v>
      </c>
      <c r="E141" s="16" t="s">
        <v>13</v>
      </c>
      <c r="F141" s="17">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s="20">
        <v>102</v>
      </c>
      <c r="E142" s="16" t="s">
        <v>11</v>
      </c>
      <c r="F142" s="17">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s="20">
        <v>64</v>
      </c>
      <c r="E143" s="16" t="s">
        <v>10</v>
      </c>
      <c r="F143" s="17">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s="20">
        <v>6</v>
      </c>
      <c r="E144" s="16" t="s">
        <v>11</v>
      </c>
      <c r="F144" s="17">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s="20">
        <v>129</v>
      </c>
      <c r="E145" s="16" t="s">
        <v>10</v>
      </c>
      <c r="F145" s="17">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s="20">
        <v>42</v>
      </c>
      <c r="E146" s="16" t="s">
        <v>13</v>
      </c>
      <c r="F146" s="17">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s="20">
        <v>71</v>
      </c>
      <c r="E147" s="16" t="s">
        <v>6</v>
      </c>
      <c r="F147" s="17">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s="20">
        <v>53</v>
      </c>
      <c r="E148" s="16" t="s">
        <v>11</v>
      </c>
      <c r="F148" s="17">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s="20">
        <v>155</v>
      </c>
      <c r="E149" s="16" t="s">
        <v>6</v>
      </c>
      <c r="F149" s="17">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s="20">
        <v>90</v>
      </c>
      <c r="E150" s="16" t="s">
        <v>13</v>
      </c>
      <c r="F150" s="17">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s="20">
        <v>166</v>
      </c>
      <c r="E151" s="16" t="s">
        <v>9</v>
      </c>
      <c r="F151" s="17">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s="20">
        <v>89</v>
      </c>
      <c r="E152" s="16" t="s">
        <v>6</v>
      </c>
      <c r="F152" s="17">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s="20">
        <v>152</v>
      </c>
      <c r="E153" s="16" t="s">
        <v>11</v>
      </c>
      <c r="F153" s="17">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s="20">
        <v>137</v>
      </c>
      <c r="E154" s="16" t="s">
        <v>13</v>
      </c>
      <c r="F154" s="17">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s="20">
        <v>43</v>
      </c>
      <c r="E155" s="16" t="s">
        <v>13</v>
      </c>
      <c r="F155" s="17">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s="20">
        <v>114</v>
      </c>
      <c r="E156" s="16" t="s">
        <v>13</v>
      </c>
      <c r="F156" s="17">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s="20">
        <v>103</v>
      </c>
      <c r="E157" s="16" t="s">
        <v>6</v>
      </c>
      <c r="F157" s="17">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s="20">
        <v>98</v>
      </c>
      <c r="E158" s="16" t="s">
        <v>11</v>
      </c>
      <c r="F158" s="17">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s="20">
        <v>106</v>
      </c>
      <c r="E159" s="16" t="s">
        <v>9</v>
      </c>
      <c r="F159" s="17">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s="20">
        <v>96</v>
      </c>
      <c r="E160" s="16" t="s">
        <v>9</v>
      </c>
      <c r="F160" s="17">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s="20">
        <v>70</v>
      </c>
      <c r="E161" s="16" t="s">
        <v>9</v>
      </c>
      <c r="F161" s="17">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s="20">
        <v>86</v>
      </c>
      <c r="E162" s="16" t="s">
        <v>10</v>
      </c>
      <c r="F162" s="17">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s="20">
        <v>64</v>
      </c>
      <c r="E163" s="16" t="s">
        <v>10</v>
      </c>
      <c r="F163" s="17">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s="20">
        <v>113</v>
      </c>
      <c r="E164" s="16" t="s">
        <v>11</v>
      </c>
      <c r="F164" s="17">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s="20">
        <v>21</v>
      </c>
      <c r="E165" s="16" t="s">
        <v>9</v>
      </c>
      <c r="F165" s="17">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s="20">
        <v>107</v>
      </c>
      <c r="E166" s="16" t="s">
        <v>10</v>
      </c>
      <c r="F166" s="17">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s="20">
        <v>131</v>
      </c>
      <c r="E167" s="16" t="s">
        <v>9</v>
      </c>
      <c r="F167" s="17">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s="20">
        <v>11</v>
      </c>
      <c r="E168" s="16" t="s">
        <v>6</v>
      </c>
      <c r="F168" s="17">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s="20">
        <v>86</v>
      </c>
      <c r="E169" s="16" t="s">
        <v>11</v>
      </c>
      <c r="F169" s="17">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s="20">
        <v>28</v>
      </c>
      <c r="E170" s="16" t="s">
        <v>6</v>
      </c>
      <c r="F170" s="17">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s="20">
        <v>139</v>
      </c>
      <c r="E171" s="16" t="s">
        <v>9</v>
      </c>
      <c r="F171" s="17">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s="20">
        <v>82</v>
      </c>
      <c r="E172" s="16" t="s">
        <v>11</v>
      </c>
      <c r="F172" s="17">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s="20">
        <v>101</v>
      </c>
      <c r="E173" s="16" t="s">
        <v>6</v>
      </c>
      <c r="F173" s="17">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s="20">
        <v>75</v>
      </c>
      <c r="E174" s="16" t="s">
        <v>13</v>
      </c>
      <c r="F174" s="17">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s="20">
        <v>40</v>
      </c>
      <c r="E175" s="16" t="s">
        <v>6</v>
      </c>
      <c r="F175" s="17">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s="20">
        <v>86</v>
      </c>
      <c r="E176" s="16" t="s">
        <v>9</v>
      </c>
      <c r="F176" s="17">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s="20">
        <v>131</v>
      </c>
      <c r="E177" s="16" t="s">
        <v>10</v>
      </c>
      <c r="F177" s="17">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s="20">
        <v>67</v>
      </c>
      <c r="E178" s="16" t="s">
        <v>11</v>
      </c>
      <c r="F178" s="17">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s="20">
        <v>71</v>
      </c>
      <c r="E179" s="16" t="s">
        <v>6</v>
      </c>
      <c r="F179" s="17">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s="20">
        <v>113</v>
      </c>
      <c r="E180" s="16" t="s">
        <v>10</v>
      </c>
      <c r="F180" s="17">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s="20">
        <v>53</v>
      </c>
      <c r="E181" s="16" t="s">
        <v>9</v>
      </c>
      <c r="F181" s="17">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s="20">
        <v>153</v>
      </c>
      <c r="E182" s="16" t="s">
        <v>11</v>
      </c>
      <c r="F182" s="17">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s="20">
        <v>73</v>
      </c>
      <c r="E183" s="16" t="s">
        <v>13</v>
      </c>
      <c r="F183" s="17">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s="20">
        <v>62</v>
      </c>
      <c r="E184" s="16" t="s">
        <v>13</v>
      </c>
      <c r="F184" s="17">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s="20">
        <v>115</v>
      </c>
      <c r="E185" s="16" t="s">
        <v>9</v>
      </c>
      <c r="F185" s="17">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s="20">
        <v>69</v>
      </c>
      <c r="E186" s="16" t="s">
        <v>9</v>
      </c>
      <c r="F186" s="17">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s="20">
        <v>103</v>
      </c>
      <c r="E187" s="16" t="s">
        <v>10</v>
      </c>
      <c r="F187" s="17">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s="20">
        <v>75</v>
      </c>
      <c r="E188" s="16" t="s">
        <v>10</v>
      </c>
      <c r="F188" s="17">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s="20">
        <v>92</v>
      </c>
      <c r="E189" s="16" t="s">
        <v>10</v>
      </c>
      <c r="F189" s="17">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s="20">
        <v>41</v>
      </c>
      <c r="E190" s="16" t="s">
        <v>13</v>
      </c>
      <c r="F190" s="17">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s="20">
        <v>134</v>
      </c>
      <c r="E191" s="16" t="s">
        <v>11</v>
      </c>
      <c r="F191" s="17">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s="20">
        <v>80</v>
      </c>
      <c r="E192" s="16" t="s">
        <v>6</v>
      </c>
      <c r="F192" s="17">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s="20">
        <v>103</v>
      </c>
      <c r="E193" s="16" t="s">
        <v>9</v>
      </c>
      <c r="F193" s="17">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s="20">
        <v>20</v>
      </c>
      <c r="E194" s="16" t="s">
        <v>10</v>
      </c>
      <c r="F194" s="17">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s="20">
        <v>75</v>
      </c>
      <c r="E195" s="16" t="s">
        <v>6</v>
      </c>
      <c r="F195" s="17">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s="20">
        <v>80</v>
      </c>
      <c r="E196" s="16" t="s">
        <v>11</v>
      </c>
      <c r="F196" s="17">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s="20">
        <v>85</v>
      </c>
      <c r="E197" s="16" t="s">
        <v>13</v>
      </c>
      <c r="F197" s="17">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s="20">
        <v>155</v>
      </c>
      <c r="E198" s="16" t="s">
        <v>10</v>
      </c>
      <c r="F198" s="17">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s="20">
        <v>63</v>
      </c>
      <c r="E199" s="16" t="s">
        <v>13</v>
      </c>
      <c r="F199" s="17">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s="20">
        <v>105</v>
      </c>
      <c r="E200" s="16" t="s">
        <v>9</v>
      </c>
      <c r="F200" s="17">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s="20">
        <v>71</v>
      </c>
      <c r="E201" s="16" t="s">
        <v>13</v>
      </c>
      <c r="F201" s="17">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s="20">
        <v>100</v>
      </c>
      <c r="E202" s="16" t="s">
        <v>13</v>
      </c>
      <c r="F202" s="17">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s="20">
        <v>93</v>
      </c>
      <c r="E203" s="16" t="s">
        <v>11</v>
      </c>
      <c r="F203" s="17">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s="20">
        <v>84</v>
      </c>
      <c r="E204" s="16" t="s">
        <v>10</v>
      </c>
      <c r="F204" s="17">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s="20">
        <v>56</v>
      </c>
      <c r="E205" s="16" t="s">
        <v>6</v>
      </c>
      <c r="F205" s="17">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s="20">
        <v>63</v>
      </c>
      <c r="E206" s="16" t="s">
        <v>13</v>
      </c>
      <c r="F206" s="17">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s="20">
        <v>83</v>
      </c>
      <c r="E207" s="16" t="s">
        <v>13</v>
      </c>
      <c r="F207" s="17">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s="20">
        <v>134</v>
      </c>
      <c r="E208" s="16" t="s">
        <v>10</v>
      </c>
      <c r="F208" s="17">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s="20">
        <v>73</v>
      </c>
      <c r="E209" s="16" t="s">
        <v>13</v>
      </c>
      <c r="F209" s="17">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s="20">
        <v>6</v>
      </c>
      <c r="E210" s="16" t="s">
        <v>6</v>
      </c>
      <c r="F210" s="17">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s="20">
        <v>46</v>
      </c>
      <c r="E211" s="16" t="s">
        <v>9</v>
      </c>
      <c r="F211" s="17">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s="20">
        <v>121</v>
      </c>
      <c r="E212" s="16" t="s">
        <v>13</v>
      </c>
      <c r="F212" s="17">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s="20">
        <v>61</v>
      </c>
      <c r="E213" s="16" t="s">
        <v>11</v>
      </c>
      <c r="F213" s="17">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s="20">
        <v>144</v>
      </c>
      <c r="E214" s="16" t="s">
        <v>10</v>
      </c>
      <c r="F214" s="17">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s="20">
        <v>145</v>
      </c>
      <c r="E215" s="16" t="s">
        <v>10</v>
      </c>
      <c r="F215" s="17">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s="20">
        <v>85</v>
      </c>
      <c r="E216" s="16" t="s">
        <v>6</v>
      </c>
      <c r="F216" s="17">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s="20">
        <v>13</v>
      </c>
      <c r="E217" s="16" t="s">
        <v>11</v>
      </c>
      <c r="F217" s="17">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s="20">
        <v>142</v>
      </c>
      <c r="E218" s="16" t="s">
        <v>13</v>
      </c>
      <c r="F218" s="17">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s="20">
        <v>28</v>
      </c>
      <c r="E219" s="16" t="s">
        <v>9</v>
      </c>
      <c r="F219" s="17">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s="20">
        <v>119</v>
      </c>
      <c r="E220" s="16" t="s">
        <v>13</v>
      </c>
      <c r="F220" s="17">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s="20">
        <v>65</v>
      </c>
      <c r="E221" s="16" t="s">
        <v>6</v>
      </c>
      <c r="F221" s="17">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s="20">
        <v>68</v>
      </c>
      <c r="E222" s="16" t="s">
        <v>6</v>
      </c>
      <c r="F222" s="17">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s="20">
        <v>72</v>
      </c>
      <c r="E223" s="16" t="s">
        <v>9</v>
      </c>
      <c r="F223" s="17">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s="20">
        <v>63</v>
      </c>
      <c r="E224" s="16" t="s">
        <v>10</v>
      </c>
      <c r="F224" s="17">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s="20">
        <v>139</v>
      </c>
      <c r="E225" s="16" t="s">
        <v>13</v>
      </c>
      <c r="F225" s="17">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s="20">
        <v>59</v>
      </c>
      <c r="E226" s="16" t="s">
        <v>13</v>
      </c>
      <c r="F226" s="17">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s="20">
        <v>138</v>
      </c>
      <c r="E227" s="16" t="s">
        <v>10</v>
      </c>
      <c r="F227" s="17">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s="20">
        <v>47</v>
      </c>
      <c r="E228" s="16" t="s">
        <v>9</v>
      </c>
      <c r="F228" s="17">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s="20">
        <v>74</v>
      </c>
      <c r="E229" s="16" t="s">
        <v>9</v>
      </c>
      <c r="F229" s="17">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s="20">
        <v>65</v>
      </c>
      <c r="E230" s="16" t="s">
        <v>9</v>
      </c>
      <c r="F230" s="17">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s="20">
        <v>123</v>
      </c>
      <c r="E231" s="16" t="s">
        <v>6</v>
      </c>
      <c r="F231" s="17">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s="20">
        <v>90</v>
      </c>
      <c r="E232" s="16" t="s">
        <v>13</v>
      </c>
      <c r="F232" s="17">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s="20">
        <v>127</v>
      </c>
      <c r="E233" s="16" t="s">
        <v>10</v>
      </c>
      <c r="F233" s="17">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s="20">
        <v>60</v>
      </c>
      <c r="E234" s="16" t="s">
        <v>9</v>
      </c>
      <c r="F234" s="17">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s="20">
        <v>94</v>
      </c>
      <c r="E235" s="16" t="s">
        <v>10</v>
      </c>
      <c r="F235" s="17">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s="20">
        <v>54</v>
      </c>
      <c r="E236" s="16" t="s">
        <v>9</v>
      </c>
      <c r="F236" s="17">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s="20">
        <v>104</v>
      </c>
      <c r="E237" s="16" t="s">
        <v>9</v>
      </c>
      <c r="F237" s="17">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s="20">
        <v>100</v>
      </c>
      <c r="E238" s="16" t="s">
        <v>9</v>
      </c>
      <c r="F238" s="17">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s="20">
        <v>84</v>
      </c>
      <c r="E239" s="16" t="s">
        <v>9</v>
      </c>
      <c r="F239" s="17">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s="20">
        <v>92</v>
      </c>
      <c r="E240" s="16" t="s">
        <v>11</v>
      </c>
      <c r="F240" s="17">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s="20">
        <v>64</v>
      </c>
      <c r="E241" s="16" t="s">
        <v>10</v>
      </c>
      <c r="F241" s="17">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s="20">
        <v>89</v>
      </c>
      <c r="E242" s="16" t="s">
        <v>13</v>
      </c>
      <c r="F242" s="17">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s="20">
        <v>40</v>
      </c>
      <c r="E243" s="16" t="s">
        <v>9</v>
      </c>
      <c r="F243" s="17">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s="20">
        <v>75</v>
      </c>
      <c r="E244" s="16" t="s">
        <v>6</v>
      </c>
      <c r="F244" s="17">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s="20">
        <v>106</v>
      </c>
      <c r="E245" s="16" t="s">
        <v>11</v>
      </c>
      <c r="F245" s="17">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s="20">
        <v>58</v>
      </c>
      <c r="E246" s="16" t="s">
        <v>9</v>
      </c>
      <c r="F246" s="17">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s="20">
        <v>84</v>
      </c>
      <c r="E247" s="16" t="s">
        <v>11</v>
      </c>
      <c r="F247" s="17">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s="20">
        <v>140</v>
      </c>
      <c r="E248" s="16" t="s">
        <v>11</v>
      </c>
      <c r="F248" s="17">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s="20">
        <v>67</v>
      </c>
      <c r="E249" s="16" t="s">
        <v>11</v>
      </c>
      <c r="F249" s="17">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s="20">
        <v>126</v>
      </c>
      <c r="E250" s="16" t="s">
        <v>11</v>
      </c>
      <c r="F250" s="17">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s="20">
        <v>89</v>
      </c>
      <c r="E251" s="16" t="s">
        <v>9</v>
      </c>
      <c r="F251" s="17">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s="20">
        <v>56</v>
      </c>
      <c r="E252" s="16" t="s">
        <v>10</v>
      </c>
      <c r="F252" s="17">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s="20">
        <v>48</v>
      </c>
      <c r="E253" s="16" t="s">
        <v>9</v>
      </c>
      <c r="F253" s="17">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s="20">
        <v>55</v>
      </c>
      <c r="E254" s="16" t="s">
        <v>10</v>
      </c>
      <c r="F254" s="17">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s="20">
        <v>88</v>
      </c>
      <c r="E255" s="16" t="s">
        <v>6</v>
      </c>
      <c r="F255" s="17">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s="20">
        <v>102</v>
      </c>
      <c r="E256" s="16" t="s">
        <v>11</v>
      </c>
      <c r="F256" s="17">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s="20">
        <v>155</v>
      </c>
      <c r="E257" s="16" t="s">
        <v>6</v>
      </c>
      <c r="F257" s="17">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s="20">
        <v>63</v>
      </c>
      <c r="E258" s="16" t="s">
        <v>6</v>
      </c>
      <c r="F258" s="17">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s="20">
        <v>59</v>
      </c>
      <c r="E259" s="16" t="s">
        <v>11</v>
      </c>
      <c r="F259" s="17">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s="20">
        <v>144</v>
      </c>
      <c r="E260" s="16" t="s">
        <v>9</v>
      </c>
      <c r="F260" s="17">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s="20">
        <v>113</v>
      </c>
      <c r="E261" s="16" t="s">
        <v>13</v>
      </c>
      <c r="F261" s="17">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s="20">
        <v>154</v>
      </c>
      <c r="E262" s="16" t="s">
        <v>10</v>
      </c>
      <c r="F262" s="17">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s="20">
        <v>58</v>
      </c>
      <c r="E263" s="16" t="s">
        <v>11</v>
      </c>
      <c r="F263" s="17">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s="20">
        <v>63</v>
      </c>
      <c r="E264" s="16" t="s">
        <v>6</v>
      </c>
      <c r="F264" s="17">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s="20">
        <v>59</v>
      </c>
      <c r="E265" s="16" t="s">
        <v>9</v>
      </c>
      <c r="F265" s="17">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s="20">
        <v>129</v>
      </c>
      <c r="E266" s="16" t="s">
        <v>6</v>
      </c>
      <c r="F266" s="17">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s="20">
        <v>101</v>
      </c>
      <c r="E267" s="16" t="s">
        <v>13</v>
      </c>
      <c r="F267" s="17">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s="20">
        <v>154</v>
      </c>
      <c r="E268" s="16" t="s">
        <v>9</v>
      </c>
      <c r="F268" s="17">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s="20">
        <v>131</v>
      </c>
      <c r="E269" s="16" t="s">
        <v>9</v>
      </c>
      <c r="F269" s="17">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s="20">
        <v>111</v>
      </c>
      <c r="E270" s="16" t="s">
        <v>13</v>
      </c>
      <c r="F270" s="17">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s="20">
        <v>142</v>
      </c>
      <c r="E271" s="16" t="s">
        <v>13</v>
      </c>
      <c r="F271" s="17">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s="20">
        <v>93</v>
      </c>
      <c r="E272" s="16" t="s">
        <v>6</v>
      </c>
      <c r="F272" s="17">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s="20">
        <v>125</v>
      </c>
      <c r="E273" s="16" t="s">
        <v>10</v>
      </c>
      <c r="F273" s="17">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s="20">
        <v>76</v>
      </c>
      <c r="E274" s="16" t="s">
        <v>9</v>
      </c>
      <c r="F274" s="17">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s="20">
        <v>69</v>
      </c>
      <c r="E275" s="16" t="s">
        <v>6</v>
      </c>
      <c r="F275" s="17">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s="20">
        <v>149</v>
      </c>
      <c r="E276" s="16" t="s">
        <v>10</v>
      </c>
      <c r="F276" s="17">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s="20">
        <v>57</v>
      </c>
      <c r="E277" s="16" t="s">
        <v>6</v>
      </c>
      <c r="F277" s="17">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s="20">
        <v>113</v>
      </c>
      <c r="E278" s="16" t="s">
        <v>9</v>
      </c>
      <c r="F278" s="17">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s="20">
        <v>160</v>
      </c>
      <c r="E279" s="16" t="s">
        <v>10</v>
      </c>
      <c r="F279" s="17">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s="20">
        <v>158</v>
      </c>
      <c r="E280" s="16" t="s">
        <v>11</v>
      </c>
      <c r="F280" s="17">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s="20">
        <v>77</v>
      </c>
      <c r="E281" s="16" t="s">
        <v>10</v>
      </c>
      <c r="F281" s="17">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s="20">
        <v>118</v>
      </c>
      <c r="E282" s="16" t="s">
        <v>13</v>
      </c>
      <c r="F282" s="17">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s="20">
        <v>75</v>
      </c>
      <c r="E283" s="16" t="s">
        <v>9</v>
      </c>
      <c r="F283" s="17">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s="20">
        <v>103</v>
      </c>
      <c r="E284" s="16" t="s">
        <v>10</v>
      </c>
      <c r="F284" s="17">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s="20">
        <v>116</v>
      </c>
      <c r="E285" s="16" t="s">
        <v>13</v>
      </c>
      <c r="F285" s="17">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s="20">
        <v>61</v>
      </c>
      <c r="E286" s="16" t="s">
        <v>11</v>
      </c>
      <c r="F286" s="17">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s="20">
        <v>126</v>
      </c>
      <c r="E287" s="16" t="s">
        <v>9</v>
      </c>
      <c r="F287" s="17">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s="20">
        <v>141</v>
      </c>
      <c r="E288" s="16" t="s">
        <v>6</v>
      </c>
      <c r="F288" s="17">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s="20">
        <v>95</v>
      </c>
      <c r="E289" s="16" t="s">
        <v>13</v>
      </c>
      <c r="F289" s="17">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s="20">
        <v>39</v>
      </c>
      <c r="E290" s="16" t="s">
        <v>11</v>
      </c>
      <c r="F290" s="17">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s="20">
        <v>127</v>
      </c>
      <c r="E291" s="16" t="s">
        <v>9</v>
      </c>
      <c r="F291" s="17">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s="20">
        <v>78</v>
      </c>
      <c r="E292" s="16" t="s">
        <v>9</v>
      </c>
      <c r="F292" s="17">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s="20">
        <v>40</v>
      </c>
      <c r="E293" s="16" t="s">
        <v>9</v>
      </c>
      <c r="F293" s="17">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s="20">
        <v>56</v>
      </c>
      <c r="E294" s="16" t="s">
        <v>11</v>
      </c>
      <c r="F294" s="17">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s="20">
        <v>59</v>
      </c>
      <c r="E295" s="16" t="s">
        <v>6</v>
      </c>
      <c r="F295" s="17">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s="20">
        <v>30</v>
      </c>
      <c r="E296" s="16" t="s">
        <v>9</v>
      </c>
      <c r="F296" s="17">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s="20">
        <v>63</v>
      </c>
      <c r="E297" s="16" t="s">
        <v>10</v>
      </c>
      <c r="F297" s="17">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s="20">
        <v>56</v>
      </c>
      <c r="E298" s="16" t="s">
        <v>13</v>
      </c>
      <c r="F298" s="17">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s="20">
        <v>95</v>
      </c>
      <c r="E299" s="16" t="s">
        <v>10</v>
      </c>
      <c r="F299" s="17">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s="20">
        <v>128</v>
      </c>
      <c r="E300" s="16" t="s">
        <v>6</v>
      </c>
      <c r="F300" s="17">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s="20">
        <v>49</v>
      </c>
      <c r="E301" s="16" t="s">
        <v>10</v>
      </c>
      <c r="F301" s="17">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s="20">
        <v>89</v>
      </c>
      <c r="E302" s="16" t="s">
        <v>11</v>
      </c>
      <c r="F302" s="17">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s="20">
        <v>87</v>
      </c>
      <c r="E303" s="16" t="s">
        <v>10</v>
      </c>
      <c r="F303" s="17">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s="20">
        <v>60</v>
      </c>
      <c r="E304" s="16" t="s">
        <v>9</v>
      </c>
      <c r="F304" s="17">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s="20">
        <v>42</v>
      </c>
      <c r="E305" s="16" t="s">
        <v>11</v>
      </c>
      <c r="F305" s="17">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s="20">
        <v>99</v>
      </c>
      <c r="E306" s="16" t="s">
        <v>9</v>
      </c>
      <c r="F306" s="17">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s="20">
        <v>20</v>
      </c>
      <c r="E307" s="16" t="s">
        <v>11</v>
      </c>
      <c r="F307" s="17">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s="20">
        <v>65</v>
      </c>
      <c r="E308" s="16" t="s">
        <v>9</v>
      </c>
      <c r="F308" s="17">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s="20">
        <v>71</v>
      </c>
      <c r="E309" s="16" t="s">
        <v>10</v>
      </c>
      <c r="F309" s="17">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s="20">
        <v>95</v>
      </c>
      <c r="E310" s="16" t="s">
        <v>6</v>
      </c>
      <c r="F310" s="17">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s="20">
        <v>81</v>
      </c>
      <c r="E311" s="16" t="s">
        <v>13</v>
      </c>
      <c r="F311" s="17">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s="20">
        <v>137</v>
      </c>
      <c r="E312" s="16" t="s">
        <v>13</v>
      </c>
      <c r="F312" s="17">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s="20">
        <v>40</v>
      </c>
      <c r="E313" s="16" t="s">
        <v>6</v>
      </c>
      <c r="F313" s="17">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s="20">
        <v>111</v>
      </c>
      <c r="E314" s="16" t="s">
        <v>9</v>
      </c>
      <c r="F314" s="17">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s="20">
        <v>106</v>
      </c>
      <c r="E315" s="16" t="s">
        <v>9</v>
      </c>
      <c r="F315" s="17">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s="20">
        <v>133</v>
      </c>
      <c r="E316" s="16" t="s">
        <v>11</v>
      </c>
      <c r="F316" s="17">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s="20">
        <v>38</v>
      </c>
      <c r="E317" s="16" t="s">
        <v>9</v>
      </c>
      <c r="F317" s="17">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s="20">
        <v>130</v>
      </c>
      <c r="E318" s="16" t="s">
        <v>6</v>
      </c>
      <c r="F318" s="17">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s="20">
        <v>23</v>
      </c>
      <c r="E319" s="16" t="s">
        <v>11</v>
      </c>
      <c r="F319" s="17">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s="20">
        <v>124</v>
      </c>
      <c r="E320" s="16" t="s">
        <v>9</v>
      </c>
      <c r="F320" s="17">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s="20">
        <v>107</v>
      </c>
      <c r="E321" s="16" t="s">
        <v>9</v>
      </c>
      <c r="F321" s="17">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s="20">
        <v>60</v>
      </c>
      <c r="E322" s="16" t="s">
        <v>10</v>
      </c>
      <c r="F322" s="17">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s="20">
        <v>158</v>
      </c>
      <c r="E323" s="16" t="s">
        <v>6</v>
      </c>
      <c r="F323" s="17">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s="20">
        <v>110</v>
      </c>
      <c r="E324" s="16" t="s">
        <v>6</v>
      </c>
      <c r="F324" s="17">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s="20">
        <v>70</v>
      </c>
      <c r="E325" s="16" t="s">
        <v>6</v>
      </c>
      <c r="F325" s="17">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s="20">
        <v>150</v>
      </c>
      <c r="E326" s="16" t="s">
        <v>10</v>
      </c>
      <c r="F326" s="17">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s="20">
        <v>36</v>
      </c>
      <c r="E327" s="16" t="s">
        <v>9</v>
      </c>
      <c r="F327" s="17">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s="20">
        <v>74</v>
      </c>
      <c r="E328" s="16" t="s">
        <v>9</v>
      </c>
      <c r="F328" s="17">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s="20">
        <v>75</v>
      </c>
      <c r="E329" s="16" t="s">
        <v>9</v>
      </c>
      <c r="F329" s="17">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s="20">
        <v>70</v>
      </c>
      <c r="E330" s="16" t="s">
        <v>13</v>
      </c>
      <c r="F330" s="17">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s="20">
        <v>23</v>
      </c>
      <c r="E331" s="16" t="s">
        <v>6</v>
      </c>
      <c r="F331" s="17">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s="20">
        <v>104</v>
      </c>
      <c r="E332" s="16" t="s">
        <v>11</v>
      </c>
      <c r="F332" s="17">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s="20">
        <v>95</v>
      </c>
      <c r="E333" s="16" t="s">
        <v>13</v>
      </c>
      <c r="F333" s="17">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s="20">
        <v>49</v>
      </c>
      <c r="E334" s="16" t="s">
        <v>10</v>
      </c>
      <c r="F334" s="17">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s="20">
        <v>8</v>
      </c>
      <c r="E335" s="16" t="s">
        <v>6</v>
      </c>
      <c r="F335" s="17">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s="20">
        <v>157</v>
      </c>
      <c r="E336" s="16" t="s">
        <v>10</v>
      </c>
      <c r="F336" s="17">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s="20">
        <v>74</v>
      </c>
      <c r="E337" s="16" t="s">
        <v>9</v>
      </c>
      <c r="F337" s="17">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s="20">
        <v>72</v>
      </c>
      <c r="E338" s="16" t="s">
        <v>13</v>
      </c>
      <c r="F338" s="17">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s="20">
        <v>79</v>
      </c>
      <c r="E339" s="16" t="s">
        <v>9</v>
      </c>
      <c r="F339" s="17">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s="20">
        <v>23</v>
      </c>
      <c r="E340" s="16" t="s">
        <v>9</v>
      </c>
      <c r="F340" s="17">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s="20">
        <v>69</v>
      </c>
      <c r="E341" s="16" t="s">
        <v>9</v>
      </c>
      <c r="F341" s="17">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s="20">
        <v>64</v>
      </c>
      <c r="E342" s="16" t="s">
        <v>9</v>
      </c>
      <c r="F342" s="17">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s="20">
        <v>47</v>
      </c>
      <c r="E343" s="16" t="s">
        <v>10</v>
      </c>
      <c r="F343" s="17">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s="20">
        <v>55</v>
      </c>
      <c r="E344" s="16" t="s">
        <v>13</v>
      </c>
      <c r="F344" s="17">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s="20">
        <v>104</v>
      </c>
      <c r="E345" s="16" t="s">
        <v>13</v>
      </c>
      <c r="F345" s="17">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s="20">
        <v>116</v>
      </c>
      <c r="E346" s="16" t="s">
        <v>9</v>
      </c>
      <c r="F346" s="17">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s="20">
        <v>99</v>
      </c>
      <c r="E347" s="16" t="s">
        <v>13</v>
      </c>
      <c r="F347" s="17">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s="20">
        <v>84</v>
      </c>
      <c r="E348" s="16" t="s">
        <v>13</v>
      </c>
      <c r="F348" s="17">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s="20">
        <v>159</v>
      </c>
      <c r="E349" s="16" t="s">
        <v>13</v>
      </c>
      <c r="F349" s="17">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s="20">
        <v>25</v>
      </c>
      <c r="E350" s="16" t="s">
        <v>10</v>
      </c>
      <c r="F350" s="17">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s="20">
        <v>53</v>
      </c>
      <c r="E351" s="16" t="s">
        <v>6</v>
      </c>
      <c r="F351" s="17">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s="20">
        <v>89</v>
      </c>
      <c r="E352" s="16" t="s">
        <v>10</v>
      </c>
      <c r="F352" s="17">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s="20">
        <v>73</v>
      </c>
      <c r="E353" s="16" t="s">
        <v>9</v>
      </c>
      <c r="F353" s="17">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s="20">
        <v>50</v>
      </c>
      <c r="E354" s="16" t="s">
        <v>9</v>
      </c>
      <c r="F354" s="17">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s="20">
        <v>98</v>
      </c>
      <c r="E355" s="16" t="s">
        <v>9</v>
      </c>
      <c r="F355" s="17">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s="20">
        <v>114</v>
      </c>
      <c r="E356" s="16" t="s">
        <v>13</v>
      </c>
      <c r="F356" s="17">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s="20">
        <v>67</v>
      </c>
      <c r="E357" s="16" t="s">
        <v>13</v>
      </c>
      <c r="F357" s="17">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s="20">
        <v>91</v>
      </c>
      <c r="E358" s="16" t="s">
        <v>9</v>
      </c>
      <c r="F358" s="17">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s="20">
        <v>67</v>
      </c>
      <c r="E359" s="16" t="s">
        <v>9</v>
      </c>
      <c r="F359" s="17">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s="20">
        <v>139</v>
      </c>
      <c r="E360" s="16" t="s">
        <v>10</v>
      </c>
      <c r="F360" s="17">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s="20">
        <v>102</v>
      </c>
      <c r="E361" s="16" t="s">
        <v>10</v>
      </c>
      <c r="F361" s="17">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s="20">
        <v>108</v>
      </c>
      <c r="E362" s="16" t="s">
        <v>11</v>
      </c>
      <c r="F362" s="17">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s="20">
        <v>66</v>
      </c>
      <c r="E363" s="16" t="s">
        <v>9</v>
      </c>
      <c r="F363" s="17">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s="20">
        <v>85</v>
      </c>
      <c r="E364" s="16" t="s">
        <v>10</v>
      </c>
      <c r="F364" s="17">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s="20">
        <v>55</v>
      </c>
      <c r="E365" s="16" t="s">
        <v>11</v>
      </c>
      <c r="F365" s="17">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s="20">
        <v>17</v>
      </c>
      <c r="E366" s="16" t="s">
        <v>6</v>
      </c>
      <c r="F366" s="17">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s="20">
        <v>128</v>
      </c>
      <c r="E367" s="16" t="s">
        <v>6</v>
      </c>
      <c r="F367" s="17">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s="20">
        <v>45</v>
      </c>
      <c r="E368" s="16" t="s">
        <v>11</v>
      </c>
      <c r="F368" s="17">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s="20">
        <v>41</v>
      </c>
      <c r="E369" s="16" t="s">
        <v>6</v>
      </c>
      <c r="F369" s="17">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s="20">
        <v>49</v>
      </c>
      <c r="E370" s="16" t="s">
        <v>6</v>
      </c>
      <c r="F370" s="17">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s="20">
        <v>21</v>
      </c>
      <c r="E371" s="16" t="s">
        <v>13</v>
      </c>
      <c r="F371" s="17">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s="20">
        <v>133</v>
      </c>
      <c r="E372" s="16" t="s">
        <v>11</v>
      </c>
      <c r="F372" s="17">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s="20">
        <v>135</v>
      </c>
      <c r="E373" s="16" t="s">
        <v>9</v>
      </c>
      <c r="F373" s="17">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s="20">
        <v>69</v>
      </c>
      <c r="E374" s="16" t="s">
        <v>11</v>
      </c>
      <c r="F374" s="17">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s="20">
        <v>110</v>
      </c>
      <c r="E375" s="16" t="s">
        <v>13</v>
      </c>
      <c r="F375" s="17">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s="20">
        <v>64</v>
      </c>
      <c r="E376" s="16" t="s">
        <v>10</v>
      </c>
      <c r="F376" s="17">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s="20">
        <v>105</v>
      </c>
      <c r="E377" s="16" t="s">
        <v>6</v>
      </c>
      <c r="F377" s="17">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s="20">
        <v>165</v>
      </c>
      <c r="E378" s="16" t="s">
        <v>9</v>
      </c>
      <c r="F378" s="17">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s="20">
        <v>125</v>
      </c>
      <c r="E379" s="16" t="s">
        <v>9</v>
      </c>
      <c r="F379" s="17">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s="20">
        <v>88</v>
      </c>
      <c r="E380" s="16" t="s">
        <v>10</v>
      </c>
      <c r="F380" s="17">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s="20">
        <v>6</v>
      </c>
      <c r="E381" s="16" t="s">
        <v>10</v>
      </c>
      <c r="F381" s="17">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s="20">
        <v>69</v>
      </c>
      <c r="E382" s="16" t="s">
        <v>11</v>
      </c>
      <c r="F382" s="17">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s="20">
        <v>107</v>
      </c>
      <c r="E383" s="16" t="s">
        <v>11</v>
      </c>
      <c r="F383" s="17">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s="20">
        <v>90</v>
      </c>
      <c r="E384" s="16" t="s">
        <v>9</v>
      </c>
      <c r="F384" s="17">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s="20">
        <v>120</v>
      </c>
      <c r="E385" s="16" t="s">
        <v>6</v>
      </c>
      <c r="F385" s="17">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s="20">
        <v>47</v>
      </c>
      <c r="E386" s="16" t="s">
        <v>11</v>
      </c>
      <c r="F386" s="17">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s="20">
        <v>60</v>
      </c>
      <c r="E387" s="16" t="s">
        <v>6</v>
      </c>
      <c r="F387" s="17">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s="20">
        <v>64</v>
      </c>
      <c r="E388" s="16" t="s">
        <v>9</v>
      </c>
      <c r="F388" s="17">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s="20">
        <v>62</v>
      </c>
      <c r="E389" s="16" t="s">
        <v>11</v>
      </c>
      <c r="F389" s="17">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s="20">
        <v>88</v>
      </c>
      <c r="E390" s="16" t="s">
        <v>11</v>
      </c>
      <c r="F390" s="17">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s="20">
        <v>116</v>
      </c>
      <c r="E391" s="16" t="s">
        <v>11</v>
      </c>
      <c r="F391" s="17">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s="20">
        <v>82</v>
      </c>
      <c r="E392" s="16" t="s">
        <v>10</v>
      </c>
      <c r="F392" s="17">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s="20">
        <v>99</v>
      </c>
      <c r="E393" s="16" t="s">
        <v>9</v>
      </c>
      <c r="F393" s="17">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s="20">
        <v>55</v>
      </c>
      <c r="E394" s="16" t="s">
        <v>10</v>
      </c>
      <c r="F394" s="17">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s="20">
        <v>61</v>
      </c>
      <c r="E395" s="16" t="s">
        <v>6</v>
      </c>
      <c r="F395" s="17">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s="20">
        <v>36</v>
      </c>
      <c r="E396" s="16" t="s">
        <v>13</v>
      </c>
      <c r="F396" s="17">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s="20">
        <v>123</v>
      </c>
      <c r="E397" s="16" t="s">
        <v>11</v>
      </c>
      <c r="F397" s="17">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s="20">
        <v>24</v>
      </c>
      <c r="E398" s="16" t="s">
        <v>6</v>
      </c>
      <c r="F398" s="17">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s="20">
        <v>43</v>
      </c>
      <c r="E399" s="16" t="s">
        <v>11</v>
      </c>
      <c r="F399" s="17">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s="20">
        <v>95</v>
      </c>
      <c r="E400" s="16" t="s">
        <v>9</v>
      </c>
      <c r="F400" s="17">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s="20">
        <v>53</v>
      </c>
      <c r="E401" s="16" t="s">
        <v>11</v>
      </c>
      <c r="F401" s="17">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s="20">
        <v>113</v>
      </c>
      <c r="E402" s="16" t="s">
        <v>11</v>
      </c>
      <c r="F402" s="17">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s="20">
        <v>89</v>
      </c>
      <c r="E403" s="16" t="s">
        <v>13</v>
      </c>
      <c r="F403" s="17">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s="20">
        <v>84</v>
      </c>
      <c r="E404" s="16" t="s">
        <v>10</v>
      </c>
      <c r="F404" s="17">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s="20">
        <v>130</v>
      </c>
      <c r="E405" s="16" t="s">
        <v>11</v>
      </c>
      <c r="F405" s="17">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s="20">
        <v>163</v>
      </c>
      <c r="E406" s="16" t="s">
        <v>13</v>
      </c>
      <c r="F406" s="17">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s="20">
        <v>127</v>
      </c>
      <c r="E407" s="16" t="s">
        <v>11</v>
      </c>
      <c r="F407" s="17">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s="20">
        <v>50</v>
      </c>
      <c r="E408" s="16" t="s">
        <v>11</v>
      </c>
      <c r="F408" s="17">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s="20">
        <v>88</v>
      </c>
      <c r="E409" s="16" t="s">
        <v>6</v>
      </c>
      <c r="F409" s="17">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s="20">
        <v>139</v>
      </c>
      <c r="E410" s="16" t="s">
        <v>9</v>
      </c>
      <c r="F410" s="17">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s="20">
        <v>111</v>
      </c>
      <c r="E411" s="16" t="s">
        <v>11</v>
      </c>
      <c r="F411" s="17">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s="20">
        <v>115</v>
      </c>
      <c r="E412" s="16" t="s">
        <v>9</v>
      </c>
      <c r="F412" s="17">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s="20">
        <v>26</v>
      </c>
      <c r="E413" s="16" t="s">
        <v>13</v>
      </c>
      <c r="F413" s="17">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s="20">
        <v>131</v>
      </c>
      <c r="E414" s="16" t="s">
        <v>6</v>
      </c>
      <c r="F414" s="17">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s="20">
        <v>27</v>
      </c>
      <c r="E415" s="16" t="s">
        <v>6</v>
      </c>
      <c r="F415" s="17">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s="20">
        <v>75</v>
      </c>
      <c r="E416" s="16" t="s">
        <v>11</v>
      </c>
      <c r="F416" s="17">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s="20">
        <v>123</v>
      </c>
      <c r="E417" s="16" t="s">
        <v>6</v>
      </c>
      <c r="F417" s="17">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s="20">
        <v>129</v>
      </c>
      <c r="E418" s="16" t="s">
        <v>6</v>
      </c>
      <c r="F418" s="17">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s="20">
        <v>124</v>
      </c>
      <c r="E419" s="16" t="s">
        <v>9</v>
      </c>
      <c r="F419" s="17">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s="20">
        <v>108</v>
      </c>
      <c r="E420" s="16" t="s">
        <v>9</v>
      </c>
      <c r="F420" s="17">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s="20">
        <v>15</v>
      </c>
      <c r="E421" s="16" t="s">
        <v>9</v>
      </c>
      <c r="F421" s="17">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s="20">
        <v>66</v>
      </c>
      <c r="E422" s="16" t="s">
        <v>9</v>
      </c>
      <c r="F422" s="17">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s="20">
        <v>126</v>
      </c>
      <c r="E423" s="16" t="s">
        <v>11</v>
      </c>
      <c r="F423" s="17">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s="20">
        <v>26</v>
      </c>
      <c r="E424" s="16" t="s">
        <v>10</v>
      </c>
      <c r="F424" s="17">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s="20">
        <v>105</v>
      </c>
      <c r="E425" s="16" t="s">
        <v>11</v>
      </c>
      <c r="F425" s="17">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s="20">
        <v>31</v>
      </c>
      <c r="E426" s="16" t="s">
        <v>11</v>
      </c>
      <c r="F426" s="17">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s="20">
        <v>109</v>
      </c>
      <c r="E427" s="16" t="s">
        <v>9</v>
      </c>
      <c r="F427" s="17">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s="20">
        <v>113</v>
      </c>
      <c r="E428" s="16" t="s">
        <v>13</v>
      </c>
      <c r="F428" s="17">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s="20">
        <v>101</v>
      </c>
      <c r="E429" s="16" t="s">
        <v>10</v>
      </c>
      <c r="F429" s="17">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s="20">
        <v>156</v>
      </c>
      <c r="E430" s="16" t="s">
        <v>10</v>
      </c>
      <c r="F430" s="17">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s="20">
        <v>145</v>
      </c>
      <c r="E431" s="16" t="s">
        <v>13</v>
      </c>
      <c r="F431" s="17">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s="20">
        <v>36</v>
      </c>
      <c r="E432" s="16" t="s">
        <v>9</v>
      </c>
      <c r="F432" s="17">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s="20">
        <v>135</v>
      </c>
      <c r="E433" s="16" t="s">
        <v>6</v>
      </c>
      <c r="F433" s="17">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s="20">
        <v>81</v>
      </c>
      <c r="E434" s="16" t="s">
        <v>9</v>
      </c>
      <c r="F434" s="17">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s="20">
        <v>81</v>
      </c>
      <c r="E435" s="16" t="s">
        <v>13</v>
      </c>
      <c r="F435" s="17">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s="20">
        <v>93</v>
      </c>
      <c r="E436" s="16" t="s">
        <v>11</v>
      </c>
      <c r="F436" s="17">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s="20">
        <v>14</v>
      </c>
      <c r="E437" s="16" t="s">
        <v>9</v>
      </c>
      <c r="F437" s="17">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s="20">
        <v>95</v>
      </c>
      <c r="E438" s="16" t="s">
        <v>13</v>
      </c>
      <c r="F438" s="17">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s="20">
        <v>81</v>
      </c>
      <c r="E439" s="16" t="s">
        <v>13</v>
      </c>
      <c r="F439" s="17">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s="20">
        <v>60</v>
      </c>
      <c r="E440" s="16" t="s">
        <v>9</v>
      </c>
      <c r="F440" s="17">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s="20">
        <v>137</v>
      </c>
      <c r="E441" s="16" t="s">
        <v>11</v>
      </c>
      <c r="F441" s="17">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s="20">
        <v>112</v>
      </c>
      <c r="E442" s="16" t="s">
        <v>6</v>
      </c>
      <c r="F442" s="17">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s="20">
        <v>76</v>
      </c>
      <c r="E443" s="16" t="s">
        <v>10</v>
      </c>
      <c r="F443" s="17">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s="20">
        <v>73</v>
      </c>
      <c r="E444" s="16" t="s">
        <v>9</v>
      </c>
      <c r="F444" s="17">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s="20">
        <v>119</v>
      </c>
      <c r="E445" s="16" t="s">
        <v>11</v>
      </c>
      <c r="F445" s="17">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s="20">
        <v>135</v>
      </c>
      <c r="E446" s="16" t="s">
        <v>13</v>
      </c>
      <c r="F446" s="17">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s="20">
        <v>41</v>
      </c>
      <c r="E447" s="16" t="s">
        <v>6</v>
      </c>
      <c r="F447" s="17">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s="20">
        <v>35</v>
      </c>
      <c r="E448" s="16" t="s">
        <v>13</v>
      </c>
      <c r="F448" s="17">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s="20">
        <v>96</v>
      </c>
      <c r="E449" s="16" t="s">
        <v>9</v>
      </c>
      <c r="F449" s="17">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s="20">
        <v>61</v>
      </c>
      <c r="E450" s="16" t="s">
        <v>6</v>
      </c>
      <c r="F450" s="17">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s="20">
        <v>91</v>
      </c>
      <c r="E451" s="16" t="s">
        <v>6</v>
      </c>
      <c r="F451" s="17">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s="20">
        <v>30</v>
      </c>
      <c r="E452" s="16" t="s">
        <v>6</v>
      </c>
      <c r="F452" s="17">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s="20">
        <v>111</v>
      </c>
      <c r="E453" s="16" t="s">
        <v>11</v>
      </c>
      <c r="F453" s="17">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s="20">
        <v>81</v>
      </c>
      <c r="E454" s="16" t="s">
        <v>9</v>
      </c>
      <c r="F454" s="17">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s="20">
        <v>40</v>
      </c>
      <c r="E455" s="16" t="s">
        <v>13</v>
      </c>
      <c r="F455" s="17">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s="20">
        <v>143</v>
      </c>
      <c r="E456" s="16" t="s">
        <v>13</v>
      </c>
      <c r="F456" s="17">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s="20">
        <v>70</v>
      </c>
      <c r="E457" s="16" t="s">
        <v>13</v>
      </c>
      <c r="F457" s="17">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s="20">
        <v>137</v>
      </c>
      <c r="E458" s="16" t="s">
        <v>13</v>
      </c>
      <c r="F458" s="17">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s="20">
        <v>52</v>
      </c>
      <c r="E459" s="16" t="s">
        <v>9</v>
      </c>
      <c r="F459" s="17">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s="20">
        <v>31</v>
      </c>
      <c r="E460" s="16" t="s">
        <v>11</v>
      </c>
      <c r="F460" s="17">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s="20">
        <v>114</v>
      </c>
      <c r="E461" s="16" t="s">
        <v>6</v>
      </c>
      <c r="F461" s="17">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s="20">
        <v>73</v>
      </c>
      <c r="E462" s="16" t="s">
        <v>10</v>
      </c>
      <c r="F462" s="17">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s="20">
        <v>25</v>
      </c>
      <c r="E463" s="16" t="s">
        <v>11</v>
      </c>
      <c r="F463" s="17">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s="20">
        <v>44</v>
      </c>
      <c r="E464" s="16" t="s">
        <v>6</v>
      </c>
      <c r="F464" s="17">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s="20">
        <v>34</v>
      </c>
      <c r="E465" s="16" t="s">
        <v>9</v>
      </c>
      <c r="F465" s="17">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s="20">
        <v>89</v>
      </c>
      <c r="E466" s="16" t="s">
        <v>13</v>
      </c>
      <c r="F466" s="17">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s="20">
        <v>54</v>
      </c>
      <c r="E467" s="16" t="s">
        <v>11</v>
      </c>
      <c r="F467" s="17">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s="20">
        <v>25</v>
      </c>
      <c r="E468" s="16" t="s">
        <v>11</v>
      </c>
      <c r="F468" s="17">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s="20">
        <v>91</v>
      </c>
      <c r="E469" s="16" t="s">
        <v>13</v>
      </c>
      <c r="F469" s="17">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s="20">
        <v>144</v>
      </c>
      <c r="E470" s="16" t="s">
        <v>6</v>
      </c>
      <c r="F470" s="17">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s="20">
        <v>81</v>
      </c>
      <c r="E471" s="16" t="s">
        <v>9</v>
      </c>
      <c r="F471" s="17">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s="20">
        <v>92</v>
      </c>
      <c r="E472" s="16" t="s">
        <v>11</v>
      </c>
      <c r="F472" s="17">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s="20">
        <v>115</v>
      </c>
      <c r="E473" s="16" t="s">
        <v>13</v>
      </c>
      <c r="F473" s="17">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s="20">
        <v>56</v>
      </c>
      <c r="E474" s="16" t="s">
        <v>13</v>
      </c>
      <c r="F474" s="17">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s="20">
        <v>154</v>
      </c>
      <c r="E475" s="16" t="s">
        <v>11</v>
      </c>
      <c r="F475" s="17">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s="20">
        <v>51</v>
      </c>
      <c r="E476" s="16" t="s">
        <v>13</v>
      </c>
      <c r="F476" s="17">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s="20">
        <v>21</v>
      </c>
      <c r="E477" s="16" t="s">
        <v>9</v>
      </c>
      <c r="F477" s="17">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s="20">
        <v>80</v>
      </c>
      <c r="E478" s="16" t="s">
        <v>13</v>
      </c>
      <c r="F478" s="17">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s="20">
        <v>139</v>
      </c>
      <c r="E479" s="16" t="s">
        <v>11</v>
      </c>
      <c r="F479" s="17">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s="20">
        <v>50</v>
      </c>
      <c r="E480" s="16" t="s">
        <v>9</v>
      </c>
      <c r="F480" s="17">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s="20">
        <v>88</v>
      </c>
      <c r="E481" s="16" t="s">
        <v>13</v>
      </c>
      <c r="F481" s="17">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s="20">
        <v>19</v>
      </c>
      <c r="E482" s="16" t="s">
        <v>6</v>
      </c>
      <c r="F482" s="17">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s="20">
        <v>104</v>
      </c>
      <c r="E483" s="16" t="s">
        <v>6</v>
      </c>
      <c r="F483" s="17">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s="20">
        <v>67</v>
      </c>
      <c r="E484" s="16" t="s">
        <v>11</v>
      </c>
      <c r="F484" s="17">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s="20">
        <v>107</v>
      </c>
      <c r="E485" s="16" t="s">
        <v>6</v>
      </c>
      <c r="F485" s="17">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s="20">
        <v>93</v>
      </c>
      <c r="E486" s="16" t="s">
        <v>6</v>
      </c>
      <c r="F486" s="17">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s="20">
        <v>117</v>
      </c>
      <c r="E487" s="16" t="s">
        <v>11</v>
      </c>
      <c r="F487" s="17">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s="20">
        <v>76</v>
      </c>
      <c r="E488" s="16" t="s">
        <v>13</v>
      </c>
      <c r="F488" s="17">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s="20">
        <v>64</v>
      </c>
      <c r="E489" s="16" t="s">
        <v>6</v>
      </c>
      <c r="F489" s="17">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s="20">
        <v>33</v>
      </c>
      <c r="E490" s="16" t="s">
        <v>6</v>
      </c>
      <c r="F490" s="17">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s="20">
        <v>115</v>
      </c>
      <c r="E491" s="16" t="s">
        <v>11</v>
      </c>
      <c r="F491" s="17">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s="20">
        <v>155</v>
      </c>
      <c r="E492" s="16" t="s">
        <v>13</v>
      </c>
      <c r="F492" s="17">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s="20">
        <v>117</v>
      </c>
      <c r="E493" s="16" t="s">
        <v>13</v>
      </c>
      <c r="F493" s="17">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s="20">
        <v>63</v>
      </c>
      <c r="E494" s="16" t="s">
        <v>13</v>
      </c>
      <c r="F494" s="17">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s="20">
        <v>59</v>
      </c>
      <c r="E495" s="16" t="s">
        <v>10</v>
      </c>
      <c r="F495" s="17">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s="20">
        <v>133</v>
      </c>
      <c r="E496" s="16" t="s">
        <v>6</v>
      </c>
      <c r="F496" s="17">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s="20">
        <v>101</v>
      </c>
      <c r="E497" s="16" t="s">
        <v>9</v>
      </c>
      <c r="F497" s="17">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s="20">
        <v>151</v>
      </c>
      <c r="E498" s="16" t="s">
        <v>13</v>
      </c>
      <c r="F498" s="17">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s="20">
        <v>146</v>
      </c>
      <c r="E499" s="16" t="s">
        <v>6</v>
      </c>
      <c r="F499" s="17">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s="20">
        <v>148</v>
      </c>
      <c r="E500" s="16" t="s">
        <v>6</v>
      </c>
      <c r="F500" s="17">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s="20">
        <v>81</v>
      </c>
      <c r="E501" s="16" t="s">
        <v>6</v>
      </c>
      <c r="F501" s="17">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s="20">
        <v>115</v>
      </c>
      <c r="E502" s="16" t="s">
        <v>6</v>
      </c>
      <c r="F502" s="17">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s="20">
        <v>117</v>
      </c>
      <c r="E503" s="16" t="s">
        <v>13</v>
      </c>
      <c r="F503" s="17">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s="20">
        <v>110</v>
      </c>
      <c r="E504" s="16" t="s">
        <v>11</v>
      </c>
      <c r="F504" s="17">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s="20">
        <v>103</v>
      </c>
      <c r="E505" s="16" t="s">
        <v>10</v>
      </c>
      <c r="F505" s="17">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s="20">
        <v>45</v>
      </c>
      <c r="E506" s="16" t="s">
        <v>10</v>
      </c>
      <c r="F506" s="17">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s="20">
        <v>110</v>
      </c>
      <c r="E507" s="16" t="s">
        <v>9</v>
      </c>
      <c r="F507" s="17">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s="20">
        <v>43</v>
      </c>
      <c r="E508" s="16" t="s">
        <v>11</v>
      </c>
      <c r="F508" s="17">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s="20">
        <v>104</v>
      </c>
      <c r="E509" s="16" t="s">
        <v>13</v>
      </c>
      <c r="F509" s="17">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s="20">
        <v>101</v>
      </c>
      <c r="E510" s="16" t="s">
        <v>13</v>
      </c>
      <c r="F510" s="17">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s="20">
        <v>55</v>
      </c>
      <c r="E511" s="16" t="s">
        <v>11</v>
      </c>
      <c r="F511" s="17">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s="20">
        <v>40</v>
      </c>
      <c r="E512" s="16" t="s">
        <v>10</v>
      </c>
      <c r="F512" s="17">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s="20">
        <v>122</v>
      </c>
      <c r="E513" s="16" t="s">
        <v>6</v>
      </c>
      <c r="F513" s="17">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s="20">
        <v>98</v>
      </c>
      <c r="E514" s="16" t="s">
        <v>13</v>
      </c>
      <c r="F514" s="17">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s="20">
        <v>110</v>
      </c>
      <c r="E515" s="16" t="s">
        <v>10</v>
      </c>
      <c r="F515" s="17">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s="20">
        <v>62</v>
      </c>
      <c r="E516" s="16" t="s">
        <v>11</v>
      </c>
      <c r="F516" s="17">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s="20">
        <v>134</v>
      </c>
      <c r="E517" s="16" t="s">
        <v>6</v>
      </c>
      <c r="F517" s="17">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s="20">
        <v>94</v>
      </c>
      <c r="E518" s="16" t="s">
        <v>9</v>
      </c>
      <c r="F518" s="17">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s="20">
        <v>63</v>
      </c>
      <c r="E519" s="16" t="s">
        <v>10</v>
      </c>
      <c r="F519" s="17">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s="20">
        <v>95</v>
      </c>
      <c r="E520" s="16" t="s">
        <v>6</v>
      </c>
      <c r="F520" s="17">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s="20">
        <v>106</v>
      </c>
      <c r="E521" s="16" t="s">
        <v>6</v>
      </c>
      <c r="F521" s="17">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s="20">
        <v>94</v>
      </c>
      <c r="E522" s="16" t="s">
        <v>9</v>
      </c>
      <c r="F522" s="17">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s="20">
        <v>51</v>
      </c>
      <c r="E523" s="16" t="s">
        <v>9</v>
      </c>
      <c r="F523" s="17">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s="20">
        <v>39</v>
      </c>
      <c r="E524" s="16" t="s">
        <v>9</v>
      </c>
      <c r="F524" s="17">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s="20">
        <v>111</v>
      </c>
      <c r="E525" s="16" t="s">
        <v>6</v>
      </c>
      <c r="F525" s="17">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s="20">
        <v>141</v>
      </c>
      <c r="E526" s="16" t="s">
        <v>11</v>
      </c>
      <c r="F526" s="17">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s="20">
        <v>147</v>
      </c>
      <c r="E527" s="16" t="s">
        <v>6</v>
      </c>
      <c r="F527" s="17">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s="20">
        <v>49</v>
      </c>
      <c r="E528" s="16" t="s">
        <v>9</v>
      </c>
      <c r="F528" s="17">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s="20">
        <v>75</v>
      </c>
      <c r="E529" s="16" t="s">
        <v>6</v>
      </c>
      <c r="F529" s="17">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s="20">
        <v>48</v>
      </c>
      <c r="E530" s="16" t="s">
        <v>11</v>
      </c>
      <c r="F530" s="17">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s="20">
        <v>48</v>
      </c>
      <c r="E531" s="16" t="s">
        <v>11</v>
      </c>
      <c r="F531" s="17">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s="20">
        <v>138</v>
      </c>
      <c r="E532" s="16" t="s">
        <v>9</v>
      </c>
      <c r="F532" s="17">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s="20">
        <v>144</v>
      </c>
      <c r="E533" s="16" t="s">
        <v>9</v>
      </c>
      <c r="F533" s="17">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s="20">
        <v>119</v>
      </c>
      <c r="E534" s="16" t="s">
        <v>6</v>
      </c>
      <c r="F534" s="17">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s="20">
        <v>101</v>
      </c>
      <c r="E535" s="16" t="s">
        <v>11</v>
      </c>
      <c r="F535" s="17">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s="20">
        <v>59</v>
      </c>
      <c r="E536" s="16" t="s">
        <v>6</v>
      </c>
      <c r="F536" s="17">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s="20">
        <v>125</v>
      </c>
      <c r="E537" s="16" t="s">
        <v>10</v>
      </c>
      <c r="F537" s="17">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s="20">
        <v>147</v>
      </c>
      <c r="E538" s="16" t="s">
        <v>6</v>
      </c>
      <c r="F538" s="17">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s="20">
        <v>76</v>
      </c>
      <c r="E539" s="16" t="s">
        <v>6</v>
      </c>
      <c r="F539" s="17">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s="20">
        <v>99</v>
      </c>
      <c r="E540" s="16" t="s">
        <v>11</v>
      </c>
      <c r="F540" s="17">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s="20">
        <v>111</v>
      </c>
      <c r="E541" s="16" t="s">
        <v>13</v>
      </c>
      <c r="F541" s="17">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s="20">
        <v>147</v>
      </c>
      <c r="E542" s="16" t="s">
        <v>10</v>
      </c>
      <c r="F542" s="17">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s="20">
        <v>141</v>
      </c>
      <c r="E543" s="16" t="s">
        <v>11</v>
      </c>
      <c r="F543" s="17">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s="20">
        <v>71</v>
      </c>
      <c r="E544" s="16" t="s">
        <v>6</v>
      </c>
      <c r="F544" s="17">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s="20">
        <v>121</v>
      </c>
      <c r="E545" s="16" t="s">
        <v>10</v>
      </c>
      <c r="F545" s="17">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s="20">
        <v>60</v>
      </c>
      <c r="E546" s="16" t="s">
        <v>10</v>
      </c>
      <c r="F546" s="17">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s="20">
        <v>158</v>
      </c>
      <c r="E547" s="16" t="s">
        <v>11</v>
      </c>
      <c r="F547" s="17">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s="20">
        <v>159</v>
      </c>
      <c r="E548" s="16" t="s">
        <v>9</v>
      </c>
      <c r="F548" s="17">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s="20">
        <v>70</v>
      </c>
      <c r="E549" s="16" t="s">
        <v>6</v>
      </c>
      <c r="F549" s="17">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s="20">
        <v>78</v>
      </c>
      <c r="E550" s="16" t="s">
        <v>13</v>
      </c>
      <c r="F550" s="17">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s="20">
        <v>103</v>
      </c>
      <c r="E551" s="16" t="s">
        <v>6</v>
      </c>
      <c r="F551" s="17">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s="20">
        <v>108</v>
      </c>
      <c r="E552" s="16" t="s">
        <v>11</v>
      </c>
      <c r="F552" s="17">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s="20">
        <v>44</v>
      </c>
      <c r="E553" s="16" t="s">
        <v>10</v>
      </c>
      <c r="F553" s="17">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s="20">
        <v>127</v>
      </c>
      <c r="E554" s="16" t="s">
        <v>11</v>
      </c>
      <c r="F554" s="17">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s="20">
        <v>132</v>
      </c>
      <c r="E555" s="16" t="s">
        <v>6</v>
      </c>
      <c r="F555" s="17">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s="20">
        <v>106</v>
      </c>
      <c r="E556" s="16" t="s">
        <v>13</v>
      </c>
      <c r="F556" s="17">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s="20">
        <v>107</v>
      </c>
      <c r="E557" s="16" t="s">
        <v>6</v>
      </c>
      <c r="F557" s="17">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s="20">
        <v>85</v>
      </c>
      <c r="E558" s="16" t="s">
        <v>13</v>
      </c>
      <c r="F558" s="17">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s="20">
        <v>49</v>
      </c>
      <c r="E559" s="16" t="s">
        <v>6</v>
      </c>
      <c r="F559" s="17">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s="20">
        <v>117</v>
      </c>
      <c r="E560" s="16" t="s">
        <v>11</v>
      </c>
      <c r="F560" s="17">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s="20">
        <v>136</v>
      </c>
      <c r="E561" s="16" t="s">
        <v>13</v>
      </c>
      <c r="F561" s="17">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s="20">
        <v>130</v>
      </c>
      <c r="E562" s="16" t="s">
        <v>9</v>
      </c>
      <c r="F562" s="17">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s="20">
        <v>73</v>
      </c>
      <c r="E563" s="16" t="s">
        <v>9</v>
      </c>
      <c r="F563" s="17">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s="20">
        <v>80</v>
      </c>
      <c r="E564" s="16" t="s">
        <v>6</v>
      </c>
      <c r="F564" s="17">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s="20">
        <v>44</v>
      </c>
      <c r="E565" s="16" t="s">
        <v>11</v>
      </c>
      <c r="F565" s="17">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s="20">
        <v>102</v>
      </c>
      <c r="E566" s="16" t="s">
        <v>10</v>
      </c>
      <c r="F566" s="17">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s="20">
        <v>74</v>
      </c>
      <c r="E567" s="16" t="s">
        <v>10</v>
      </c>
      <c r="F567" s="17">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s="20">
        <v>52</v>
      </c>
      <c r="E568" s="16" t="s">
        <v>11</v>
      </c>
      <c r="F568" s="17">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s="20">
        <v>74</v>
      </c>
      <c r="E569" s="16" t="s">
        <v>9</v>
      </c>
      <c r="F569" s="17">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s="20">
        <v>96</v>
      </c>
      <c r="E570" s="16" t="s">
        <v>10</v>
      </c>
      <c r="F570" s="17">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s="20">
        <v>104</v>
      </c>
      <c r="E571" s="16" t="s">
        <v>6</v>
      </c>
      <c r="F571" s="17">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s="20">
        <v>123</v>
      </c>
      <c r="E572" s="16" t="s">
        <v>10</v>
      </c>
      <c r="F572" s="17">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s="20">
        <v>100</v>
      </c>
      <c r="E573" s="16" t="s">
        <v>13</v>
      </c>
      <c r="F573" s="17">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s="20">
        <v>35</v>
      </c>
      <c r="E574" s="16" t="s">
        <v>11</v>
      </c>
      <c r="F574" s="17">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s="20">
        <v>123</v>
      </c>
      <c r="E575" s="16" t="s">
        <v>6</v>
      </c>
      <c r="F575" s="17">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s="20">
        <v>133</v>
      </c>
      <c r="E576" s="16" t="s">
        <v>11</v>
      </c>
      <c r="F576" s="17">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s="20">
        <v>126</v>
      </c>
      <c r="E577" s="16" t="s">
        <v>9</v>
      </c>
      <c r="F577" s="17">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s="20">
        <v>39</v>
      </c>
      <c r="E578" s="16" t="s">
        <v>10</v>
      </c>
      <c r="F578" s="17">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s="20">
        <v>31</v>
      </c>
      <c r="E579" s="16" t="s">
        <v>6</v>
      </c>
      <c r="F579" s="17">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s="20">
        <v>25</v>
      </c>
      <c r="E580" s="16" t="s">
        <v>11</v>
      </c>
      <c r="F580" s="17">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s="20">
        <v>132</v>
      </c>
      <c r="E581" s="16" t="s">
        <v>13</v>
      </c>
      <c r="F581" s="17">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s="20">
        <v>63</v>
      </c>
      <c r="E582" s="16" t="s">
        <v>9</v>
      </c>
      <c r="F582" s="17">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s="20">
        <v>135</v>
      </c>
      <c r="E583" s="16" t="s">
        <v>13</v>
      </c>
      <c r="F583" s="17">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s="20">
        <v>101</v>
      </c>
      <c r="E584" s="16" t="s">
        <v>9</v>
      </c>
      <c r="F584" s="17">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s="20">
        <v>80</v>
      </c>
      <c r="E585" s="16" t="s">
        <v>10</v>
      </c>
      <c r="F585" s="17">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s="20">
        <v>28</v>
      </c>
      <c r="E586" s="16" t="s">
        <v>10</v>
      </c>
      <c r="F586" s="17">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s="20">
        <v>102</v>
      </c>
      <c r="E587" s="16" t="s">
        <v>13</v>
      </c>
      <c r="F587" s="17">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s="20">
        <v>60</v>
      </c>
      <c r="E588" s="16" t="s">
        <v>13</v>
      </c>
      <c r="F588" s="17">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s="20">
        <v>103</v>
      </c>
      <c r="E589" s="16" t="s">
        <v>13</v>
      </c>
      <c r="F589" s="17">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s="20">
        <v>90</v>
      </c>
      <c r="E590" s="16" t="s">
        <v>10</v>
      </c>
      <c r="F590" s="17">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s="20">
        <v>88</v>
      </c>
      <c r="E591" s="16" t="s">
        <v>13</v>
      </c>
      <c r="F591" s="17">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s="20">
        <v>37</v>
      </c>
      <c r="E592" s="16" t="s">
        <v>13</v>
      </c>
      <c r="F592" s="17">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s="20">
        <v>142</v>
      </c>
      <c r="E593" s="16" t="s">
        <v>10</v>
      </c>
      <c r="F593" s="17">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s="20">
        <v>153</v>
      </c>
      <c r="E594" s="16" t="s">
        <v>11</v>
      </c>
      <c r="F594" s="17">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s="20">
        <v>128</v>
      </c>
      <c r="E595" s="16" t="s">
        <v>9</v>
      </c>
      <c r="F595" s="17">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s="20">
        <v>110</v>
      </c>
      <c r="E596" s="16" t="s">
        <v>9</v>
      </c>
      <c r="F596" s="17">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s="20">
        <v>139</v>
      </c>
      <c r="E597" s="16" t="s">
        <v>13</v>
      </c>
      <c r="F597" s="17">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s="20">
        <v>109</v>
      </c>
      <c r="E598" s="16" t="s">
        <v>6</v>
      </c>
      <c r="F598" s="17">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s="20">
        <v>57</v>
      </c>
      <c r="E599" s="16" t="s">
        <v>10</v>
      </c>
      <c r="F599" s="17">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s="20">
        <v>68</v>
      </c>
      <c r="E600" s="16" t="s">
        <v>13</v>
      </c>
      <c r="F600" s="17">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s="20">
        <v>128</v>
      </c>
      <c r="E601" s="16" t="s">
        <v>13</v>
      </c>
      <c r="F601" s="17">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s="20">
        <v>102</v>
      </c>
      <c r="E602" s="16" t="s">
        <v>10</v>
      </c>
      <c r="F602" s="17">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s="20">
        <v>52</v>
      </c>
      <c r="E603" s="16" t="s">
        <v>11</v>
      </c>
      <c r="F603" s="17">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s="20">
        <v>55</v>
      </c>
      <c r="E604" s="16" t="s">
        <v>9</v>
      </c>
      <c r="F604" s="17">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s="20">
        <v>107</v>
      </c>
      <c r="E605" s="16" t="s">
        <v>13</v>
      </c>
      <c r="F605" s="17">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s="20">
        <v>88</v>
      </c>
      <c r="E606" s="16" t="s">
        <v>11</v>
      </c>
      <c r="F606" s="17">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s="20">
        <v>49</v>
      </c>
      <c r="E607" s="16" t="s">
        <v>11</v>
      </c>
      <c r="F607" s="17">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s="20">
        <v>72</v>
      </c>
      <c r="E608" s="16" t="s">
        <v>10</v>
      </c>
      <c r="F608" s="17">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s="20">
        <v>50</v>
      </c>
      <c r="E609" s="16" t="s">
        <v>10</v>
      </c>
      <c r="F609" s="17">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s="20">
        <v>52</v>
      </c>
      <c r="E610" s="16" t="s">
        <v>13</v>
      </c>
      <c r="F610" s="17">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s="20">
        <v>85</v>
      </c>
      <c r="E611" s="16" t="s">
        <v>6</v>
      </c>
      <c r="F611" s="17">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s="20">
        <v>98</v>
      </c>
      <c r="E612" s="16" t="s">
        <v>6</v>
      </c>
      <c r="F612" s="17">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s="20">
        <v>52</v>
      </c>
      <c r="E613" s="16" t="s">
        <v>6</v>
      </c>
      <c r="F613" s="17">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s="20">
        <v>154</v>
      </c>
      <c r="E614" s="16" t="s">
        <v>11</v>
      </c>
      <c r="F614" s="17">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s="20">
        <v>131</v>
      </c>
      <c r="E615" s="16" t="s">
        <v>9</v>
      </c>
      <c r="F615" s="17">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s="20">
        <v>73</v>
      </c>
      <c r="E616" s="16" t="s">
        <v>9</v>
      </c>
      <c r="F616" s="17">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s="20">
        <v>45</v>
      </c>
      <c r="E617" s="16" t="s">
        <v>6</v>
      </c>
      <c r="F617" s="17">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s="20">
        <v>114</v>
      </c>
      <c r="E618" s="16" t="s">
        <v>13</v>
      </c>
      <c r="F618" s="17">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s="20">
        <v>69</v>
      </c>
      <c r="E619" s="16" t="s">
        <v>9</v>
      </c>
      <c r="F619" s="17">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s="20">
        <v>33</v>
      </c>
      <c r="E620" s="16" t="s">
        <v>11</v>
      </c>
      <c r="F620" s="17">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s="20">
        <v>31</v>
      </c>
      <c r="E621" s="16" t="s">
        <v>10</v>
      </c>
      <c r="F621" s="17">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s="20">
        <v>168</v>
      </c>
      <c r="E622" s="16" t="s">
        <v>11</v>
      </c>
      <c r="F622" s="17">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s="20">
        <v>111</v>
      </c>
      <c r="E623" s="16" t="s">
        <v>13</v>
      </c>
      <c r="F623" s="17">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s="20">
        <v>80</v>
      </c>
      <c r="E624" s="16" t="s">
        <v>11</v>
      </c>
      <c r="F624" s="17">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s="20">
        <v>37</v>
      </c>
      <c r="E625" s="16" t="s">
        <v>11</v>
      </c>
      <c r="F625" s="17">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s="20">
        <v>137</v>
      </c>
      <c r="E626" s="16" t="s">
        <v>11</v>
      </c>
      <c r="F626" s="17">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s="20">
        <v>123</v>
      </c>
      <c r="E627" s="16" t="s">
        <v>13</v>
      </c>
      <c r="F627" s="17">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s="20">
        <v>105</v>
      </c>
      <c r="E628" s="16" t="s">
        <v>13</v>
      </c>
      <c r="F628" s="17">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s="20">
        <v>76</v>
      </c>
      <c r="E629" s="16" t="s">
        <v>6</v>
      </c>
      <c r="F629" s="17">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s="20">
        <v>144</v>
      </c>
      <c r="E630" s="16" t="s">
        <v>6</v>
      </c>
      <c r="F630" s="17">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s="20">
        <v>109</v>
      </c>
      <c r="E631" s="16" t="s">
        <v>10</v>
      </c>
      <c r="F631" s="17">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s="20">
        <v>172</v>
      </c>
      <c r="E632" s="16" t="s">
        <v>11</v>
      </c>
      <c r="F632" s="17">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s="20">
        <v>56</v>
      </c>
      <c r="E633" s="16" t="s">
        <v>13</v>
      </c>
      <c r="F633" s="17">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s="20">
        <v>121</v>
      </c>
      <c r="E634" s="16" t="s">
        <v>9</v>
      </c>
      <c r="F634" s="17">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s="20">
        <v>41</v>
      </c>
      <c r="E635" s="16" t="s">
        <v>13</v>
      </c>
      <c r="F635" s="17">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s="20">
        <v>60</v>
      </c>
      <c r="E636" s="16" t="s">
        <v>11</v>
      </c>
      <c r="F636" s="17">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s="20">
        <v>144</v>
      </c>
      <c r="E637" s="16" t="s">
        <v>11</v>
      </c>
      <c r="F637" s="17">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s="20">
        <v>67</v>
      </c>
      <c r="E638" s="16" t="s">
        <v>11</v>
      </c>
      <c r="F638" s="17">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s="20">
        <v>162</v>
      </c>
      <c r="E639" s="16" t="s">
        <v>10</v>
      </c>
      <c r="F639" s="17">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s="20">
        <v>87</v>
      </c>
      <c r="E640" s="16" t="s">
        <v>9</v>
      </c>
      <c r="F640" s="17">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s="20">
        <v>10</v>
      </c>
      <c r="E641" s="16" t="s">
        <v>6</v>
      </c>
      <c r="F641" s="17">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s="20">
        <v>138</v>
      </c>
      <c r="E642" s="16" t="s">
        <v>6</v>
      </c>
      <c r="F642" s="17">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s="20">
        <v>31</v>
      </c>
      <c r="E643" s="16" t="s">
        <v>6</v>
      </c>
      <c r="F643" s="17">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s="20">
        <v>75</v>
      </c>
      <c r="E644" s="16" t="s">
        <v>10</v>
      </c>
      <c r="F644" s="17">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s="20">
        <v>65</v>
      </c>
      <c r="E645" s="16" t="s">
        <v>10</v>
      </c>
      <c r="F645" s="17">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s="20">
        <v>106</v>
      </c>
      <c r="E646" s="16" t="s">
        <v>13</v>
      </c>
      <c r="F646" s="17">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s="20">
        <v>107</v>
      </c>
      <c r="E647" s="16" t="s">
        <v>13</v>
      </c>
      <c r="F647" s="17">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s="20">
        <v>78</v>
      </c>
      <c r="E648" s="16" t="s">
        <v>13</v>
      </c>
      <c r="F648" s="17">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s="20">
        <v>122</v>
      </c>
      <c r="E649" s="16" t="s">
        <v>13</v>
      </c>
      <c r="F649" s="17">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s="20">
        <v>58</v>
      </c>
      <c r="E650" s="16" t="s">
        <v>6</v>
      </c>
      <c r="F650" s="17">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s="20">
        <v>33</v>
      </c>
      <c r="E651" s="16" t="s">
        <v>11</v>
      </c>
      <c r="F651" s="17">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s="20">
        <v>164</v>
      </c>
      <c r="E652" s="16" t="s">
        <v>10</v>
      </c>
      <c r="F652" s="17">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s="20">
        <v>163</v>
      </c>
      <c r="E653" s="16" t="s">
        <v>9</v>
      </c>
      <c r="F653" s="17">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s="20">
        <v>71</v>
      </c>
      <c r="E654" s="16" t="s">
        <v>10</v>
      </c>
      <c r="F654" s="17">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s="20">
        <v>103</v>
      </c>
      <c r="E655" s="16" t="s">
        <v>6</v>
      </c>
      <c r="F655" s="17">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s="20">
        <v>69</v>
      </c>
      <c r="E656" s="16" t="s">
        <v>9</v>
      </c>
      <c r="F656" s="17">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s="20">
        <v>111</v>
      </c>
      <c r="E657" s="16" t="s">
        <v>6</v>
      </c>
      <c r="F657" s="17">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s="20">
        <v>97</v>
      </c>
      <c r="E658" s="16" t="s">
        <v>9</v>
      </c>
      <c r="F658" s="17">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s="20">
        <v>144</v>
      </c>
      <c r="E659" s="16" t="s">
        <v>13</v>
      </c>
      <c r="F659" s="17">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s="20">
        <v>56</v>
      </c>
      <c r="E660" s="16" t="s">
        <v>9</v>
      </c>
      <c r="F660" s="17">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s="20">
        <v>132</v>
      </c>
      <c r="E661" s="16" t="s">
        <v>13</v>
      </c>
      <c r="F661" s="17">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s="20">
        <v>72</v>
      </c>
      <c r="E662" s="16" t="s">
        <v>11</v>
      </c>
      <c r="F662" s="17">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s="20">
        <v>18</v>
      </c>
      <c r="E663" s="16" t="s">
        <v>11</v>
      </c>
      <c r="F663" s="17">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s="20">
        <v>115</v>
      </c>
      <c r="E664" s="16" t="s">
        <v>6</v>
      </c>
      <c r="F664" s="17">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s="20">
        <v>124</v>
      </c>
      <c r="E665" s="16" t="s">
        <v>9</v>
      </c>
      <c r="F665" s="17">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s="20">
        <v>130</v>
      </c>
      <c r="E666" s="16" t="s">
        <v>9</v>
      </c>
      <c r="F666" s="17">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s="20">
        <v>120</v>
      </c>
      <c r="E667" s="16" t="s">
        <v>10</v>
      </c>
      <c r="F667" s="17">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s="20">
        <v>75</v>
      </c>
      <c r="E668" s="16" t="s">
        <v>6</v>
      </c>
      <c r="F668" s="17">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s="20">
        <v>63</v>
      </c>
      <c r="E669" s="16" t="s">
        <v>6</v>
      </c>
      <c r="F669" s="17">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s="20">
        <v>74</v>
      </c>
      <c r="E670" s="16" t="s">
        <v>6</v>
      </c>
      <c r="F670" s="17">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s="20">
        <v>134</v>
      </c>
      <c r="E671" s="16" t="s">
        <v>13</v>
      </c>
      <c r="F671" s="17">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s="20">
        <v>103</v>
      </c>
      <c r="E672" s="16" t="s">
        <v>9</v>
      </c>
      <c r="F672" s="17">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s="20">
        <v>155</v>
      </c>
      <c r="E673" s="16" t="s">
        <v>10</v>
      </c>
      <c r="F673" s="17">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s="20">
        <v>128</v>
      </c>
      <c r="E674" s="16" t="s">
        <v>9</v>
      </c>
      <c r="F674" s="17">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s="20">
        <v>89</v>
      </c>
      <c r="E675" s="16" t="s">
        <v>13</v>
      </c>
      <c r="F675" s="17">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s="20">
        <v>81</v>
      </c>
      <c r="E676" s="16" t="s">
        <v>10</v>
      </c>
      <c r="F676" s="17">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s="20">
        <v>66</v>
      </c>
      <c r="E677" s="16" t="s">
        <v>13</v>
      </c>
      <c r="F677" s="17">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s="20">
        <v>61</v>
      </c>
      <c r="E678" s="16" t="s">
        <v>11</v>
      </c>
      <c r="F678" s="17">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s="20">
        <v>128</v>
      </c>
      <c r="E679" s="16" t="s">
        <v>11</v>
      </c>
      <c r="F679" s="17">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s="20">
        <v>30</v>
      </c>
      <c r="E680" s="16" t="s">
        <v>10</v>
      </c>
      <c r="F680" s="17">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s="20">
        <v>63</v>
      </c>
      <c r="E681" s="16" t="s">
        <v>11</v>
      </c>
      <c r="F681" s="17">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s="20">
        <v>64</v>
      </c>
      <c r="E682" s="16" t="s">
        <v>6</v>
      </c>
      <c r="F682" s="17">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s="20">
        <v>151</v>
      </c>
      <c r="E683" s="16" t="s">
        <v>9</v>
      </c>
      <c r="F683" s="17">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s="20">
        <v>116</v>
      </c>
      <c r="E684" s="16" t="s">
        <v>13</v>
      </c>
      <c r="F684" s="17">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s="20">
        <v>111</v>
      </c>
      <c r="E685" s="16" t="s">
        <v>13</v>
      </c>
      <c r="F685" s="17">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s="20">
        <v>15</v>
      </c>
      <c r="E686" s="16" t="s">
        <v>13</v>
      </c>
      <c r="F686" s="17">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s="20">
        <v>18</v>
      </c>
      <c r="E687" s="16" t="s">
        <v>9</v>
      </c>
      <c r="F687" s="17">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s="20">
        <v>146</v>
      </c>
      <c r="E688" s="16" t="s">
        <v>11</v>
      </c>
      <c r="F688" s="17">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s="20">
        <v>73</v>
      </c>
      <c r="E689" s="16" t="s">
        <v>13</v>
      </c>
      <c r="F689" s="17">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s="20">
        <v>108</v>
      </c>
      <c r="E690" s="16" t="s">
        <v>9</v>
      </c>
      <c r="F690" s="17">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s="20">
        <v>52</v>
      </c>
      <c r="E691" s="16" t="s">
        <v>9</v>
      </c>
      <c r="F691" s="17">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s="20">
        <v>165</v>
      </c>
      <c r="E692" s="16" t="s">
        <v>6</v>
      </c>
      <c r="F692" s="17">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s="20">
        <v>104</v>
      </c>
      <c r="E693" s="16" t="s">
        <v>13</v>
      </c>
      <c r="F693" s="17">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s="20">
        <v>131</v>
      </c>
      <c r="E694" s="16" t="s">
        <v>11</v>
      </c>
      <c r="F694" s="17">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s="20">
        <v>80</v>
      </c>
      <c r="E695" s="16" t="s">
        <v>6</v>
      </c>
      <c r="F695" s="17">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s="20">
        <v>49</v>
      </c>
      <c r="E696" s="16" t="s">
        <v>13</v>
      </c>
      <c r="F696" s="17">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s="20">
        <v>73</v>
      </c>
      <c r="E697" s="16" t="s">
        <v>13</v>
      </c>
      <c r="F697" s="17">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s="20">
        <v>117</v>
      </c>
      <c r="E698" s="16" t="s">
        <v>6</v>
      </c>
      <c r="F698" s="17">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s="20">
        <v>38</v>
      </c>
      <c r="E699" s="16" t="s">
        <v>10</v>
      </c>
      <c r="F699" s="17">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s="20">
        <v>109</v>
      </c>
      <c r="E700" s="16" t="s">
        <v>6</v>
      </c>
      <c r="F700" s="17">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s="20">
        <v>70</v>
      </c>
      <c r="E701" s="16" t="s">
        <v>9</v>
      </c>
      <c r="F701" s="17">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s="20">
        <v>51</v>
      </c>
      <c r="E702" s="16" t="s">
        <v>10</v>
      </c>
      <c r="F702" s="17">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s="20">
        <v>100</v>
      </c>
      <c r="E703" s="16" t="s">
        <v>9</v>
      </c>
      <c r="F703" s="17">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s="20">
        <v>124</v>
      </c>
      <c r="E704" s="16" t="s">
        <v>10</v>
      </c>
      <c r="F704" s="17">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s="20">
        <v>143</v>
      </c>
      <c r="E705" s="16" t="s">
        <v>6</v>
      </c>
      <c r="F705" s="17">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s="20">
        <v>96</v>
      </c>
      <c r="E706" s="16" t="s">
        <v>13</v>
      </c>
      <c r="F706" s="17">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s="20">
        <v>84</v>
      </c>
      <c r="E707" s="16" t="s">
        <v>9</v>
      </c>
      <c r="F707" s="17">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s="20">
        <v>111</v>
      </c>
      <c r="E708" s="16" t="s">
        <v>9</v>
      </c>
      <c r="F708" s="17">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s="20">
        <v>103</v>
      </c>
      <c r="E709" s="16" t="s">
        <v>10</v>
      </c>
      <c r="F709" s="17">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s="20">
        <v>61</v>
      </c>
      <c r="E710" s="16" t="s">
        <v>11</v>
      </c>
      <c r="F710" s="17">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s="20">
        <v>113</v>
      </c>
      <c r="E711" s="16" t="s">
        <v>13</v>
      </c>
      <c r="F711" s="17">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s="20">
        <v>96</v>
      </c>
      <c r="E712" s="16" t="s">
        <v>13</v>
      </c>
      <c r="F712" s="17">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s="20">
        <v>131</v>
      </c>
      <c r="E713" s="16" t="s">
        <v>10</v>
      </c>
      <c r="F713" s="17">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s="20">
        <v>52</v>
      </c>
      <c r="E714" s="16" t="s">
        <v>13</v>
      </c>
      <c r="F714" s="17">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s="20">
        <v>100</v>
      </c>
      <c r="E715" s="16" t="s">
        <v>10</v>
      </c>
      <c r="F715" s="17">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s="20">
        <v>58</v>
      </c>
      <c r="E716" s="16" t="s">
        <v>6</v>
      </c>
      <c r="F716" s="17">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s="20">
        <v>144</v>
      </c>
      <c r="E717" s="16" t="s">
        <v>6</v>
      </c>
      <c r="F717" s="17">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s="20">
        <v>53</v>
      </c>
      <c r="E718" s="16" t="s">
        <v>11</v>
      </c>
      <c r="F718" s="17">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s="20">
        <v>97</v>
      </c>
      <c r="E719" s="16" t="s">
        <v>9</v>
      </c>
      <c r="F719" s="17">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s="20">
        <v>64</v>
      </c>
      <c r="E720" s="16" t="s">
        <v>6</v>
      </c>
      <c r="F720" s="17">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s="20">
        <v>106</v>
      </c>
      <c r="E721" s="16" t="s">
        <v>10</v>
      </c>
      <c r="F721" s="17">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s="20">
        <v>36</v>
      </c>
      <c r="E722" s="16" t="s">
        <v>6</v>
      </c>
      <c r="F722" s="17">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s="20">
        <v>74</v>
      </c>
      <c r="E723" s="16" t="s">
        <v>13</v>
      </c>
      <c r="F723" s="17">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s="20">
        <v>143</v>
      </c>
      <c r="E724" s="16" t="s">
        <v>9</v>
      </c>
      <c r="F724" s="17">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s="20">
        <v>94</v>
      </c>
      <c r="E725" s="16" t="s">
        <v>11</v>
      </c>
      <c r="F725" s="17">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s="20">
        <v>124</v>
      </c>
      <c r="E726" s="16" t="s">
        <v>10</v>
      </c>
      <c r="F726" s="17">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s="20">
        <v>156</v>
      </c>
      <c r="E727" s="16" t="s">
        <v>6</v>
      </c>
      <c r="F727" s="17">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s="20">
        <v>107</v>
      </c>
      <c r="E728" s="16" t="s">
        <v>9</v>
      </c>
      <c r="F728" s="17">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s="20">
        <v>58</v>
      </c>
      <c r="E729" s="16" t="s">
        <v>9</v>
      </c>
      <c r="F729" s="17">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s="20">
        <v>66</v>
      </c>
      <c r="E730" s="16" t="s">
        <v>9</v>
      </c>
      <c r="F730" s="17">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s="20">
        <v>75</v>
      </c>
      <c r="E731" s="16" t="s">
        <v>6</v>
      </c>
      <c r="F731" s="17">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s="20">
        <v>8</v>
      </c>
      <c r="E732" s="16" t="s">
        <v>9</v>
      </c>
      <c r="F732" s="17">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s="20">
        <v>76</v>
      </c>
      <c r="E733" s="16" t="s">
        <v>6</v>
      </c>
      <c r="F733" s="17">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s="20">
        <v>110</v>
      </c>
      <c r="E734" s="16" t="s">
        <v>6</v>
      </c>
      <c r="F734" s="17">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s="20">
        <v>50</v>
      </c>
      <c r="E735" s="16" t="s">
        <v>11</v>
      </c>
      <c r="F735" s="17">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s="20">
        <v>78</v>
      </c>
      <c r="E736" s="16" t="s">
        <v>11</v>
      </c>
      <c r="F736" s="17">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s="20">
        <v>59</v>
      </c>
      <c r="E737" s="16" t="s">
        <v>10</v>
      </c>
      <c r="F737" s="17">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s="20">
        <v>126</v>
      </c>
      <c r="E738" s="16" t="s">
        <v>9</v>
      </c>
      <c r="F738" s="17">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s="20">
        <v>43</v>
      </c>
      <c r="E739" s="16" t="s">
        <v>10</v>
      </c>
      <c r="F739" s="17">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s="20">
        <v>79</v>
      </c>
      <c r="E740" s="16" t="s">
        <v>6</v>
      </c>
      <c r="F740" s="17">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s="20">
        <v>71</v>
      </c>
      <c r="E741" s="16" t="s">
        <v>10</v>
      </c>
      <c r="F741" s="17">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s="20">
        <v>94</v>
      </c>
      <c r="E742" s="16" t="s">
        <v>9</v>
      </c>
      <c r="F742" s="17">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s="20">
        <v>108</v>
      </c>
      <c r="E743" s="16" t="s">
        <v>10</v>
      </c>
      <c r="F743" s="17">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s="20">
        <v>76</v>
      </c>
      <c r="E744" s="16" t="s">
        <v>9</v>
      </c>
      <c r="F744" s="17">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s="20">
        <v>136</v>
      </c>
      <c r="E745" s="16" t="s">
        <v>10</v>
      </c>
      <c r="F745" s="17">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s="20">
        <v>129</v>
      </c>
      <c r="E746" s="16" t="s">
        <v>11</v>
      </c>
      <c r="F746" s="17">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s="20">
        <v>120</v>
      </c>
      <c r="E747" s="16" t="s">
        <v>10</v>
      </c>
      <c r="F747" s="17">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s="20">
        <v>108</v>
      </c>
      <c r="E748" s="16" t="s">
        <v>11</v>
      </c>
      <c r="F748" s="17">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s="20">
        <v>79</v>
      </c>
      <c r="E749" s="16" t="s">
        <v>10</v>
      </c>
      <c r="F749" s="17">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s="20">
        <v>45</v>
      </c>
      <c r="E750" s="16" t="s">
        <v>11</v>
      </c>
      <c r="F750" s="17">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s="20">
        <v>96</v>
      </c>
      <c r="E751" s="16" t="s">
        <v>10</v>
      </c>
      <c r="F751" s="17">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s="20">
        <v>81</v>
      </c>
      <c r="E752" s="16" t="s">
        <v>10</v>
      </c>
      <c r="F752" s="17">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s="20">
        <v>95</v>
      </c>
      <c r="E753" s="16" t="s">
        <v>13</v>
      </c>
      <c r="F753" s="17">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s="20">
        <v>159</v>
      </c>
      <c r="E754" s="16" t="s">
        <v>9</v>
      </c>
      <c r="F754" s="17">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s="20">
        <v>109</v>
      </c>
      <c r="E755" s="16" t="s">
        <v>6</v>
      </c>
      <c r="F755" s="17">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s="20">
        <v>107</v>
      </c>
      <c r="E756" s="16" t="s">
        <v>6</v>
      </c>
      <c r="F756" s="17">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s="20">
        <v>67</v>
      </c>
      <c r="E757" s="16" t="s">
        <v>11</v>
      </c>
      <c r="F757" s="17">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s="20">
        <v>96</v>
      </c>
      <c r="E758" s="16" t="s">
        <v>10</v>
      </c>
      <c r="F758" s="17">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s="20">
        <v>142</v>
      </c>
      <c r="E759" s="16" t="s">
        <v>9</v>
      </c>
      <c r="F759" s="17">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s="20">
        <v>71</v>
      </c>
      <c r="E760" s="16" t="s">
        <v>13</v>
      </c>
      <c r="F760" s="17">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s="20">
        <v>152</v>
      </c>
      <c r="E761" s="16" t="s">
        <v>13</v>
      </c>
      <c r="F761" s="17">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s="20">
        <v>108</v>
      </c>
      <c r="E762" s="16" t="s">
        <v>9</v>
      </c>
      <c r="F762" s="17">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s="20">
        <v>156</v>
      </c>
      <c r="E763" s="16" t="s">
        <v>13</v>
      </c>
      <c r="F763" s="17">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s="20">
        <v>126</v>
      </c>
      <c r="E764" s="16" t="s">
        <v>9</v>
      </c>
      <c r="F764" s="17">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s="20">
        <v>135</v>
      </c>
      <c r="E765" s="16" t="s">
        <v>13</v>
      </c>
      <c r="F765" s="17">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s="20">
        <v>110</v>
      </c>
      <c r="E766" s="16" t="s">
        <v>10</v>
      </c>
      <c r="F766" s="17">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s="20">
        <v>64</v>
      </c>
      <c r="E767" s="16" t="s">
        <v>13</v>
      </c>
      <c r="F767" s="17">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s="20">
        <v>127</v>
      </c>
      <c r="E768" s="16" t="s">
        <v>9</v>
      </c>
      <c r="F768" s="17">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s="20">
        <v>124</v>
      </c>
      <c r="E769" s="16" t="s">
        <v>11</v>
      </c>
      <c r="F769" s="17">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s="20">
        <v>125</v>
      </c>
      <c r="E770" s="16" t="s">
        <v>9</v>
      </c>
      <c r="F770" s="17">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s="20">
        <v>70</v>
      </c>
      <c r="E771" s="16" t="s">
        <v>9</v>
      </c>
      <c r="F771" s="17">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s="20">
        <v>93</v>
      </c>
      <c r="E772" s="16" t="s">
        <v>13</v>
      </c>
      <c r="F772" s="17">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s="20">
        <v>120</v>
      </c>
      <c r="E773" s="16" t="s">
        <v>6</v>
      </c>
      <c r="F773" s="17">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s="20">
        <v>96</v>
      </c>
      <c r="E774" s="16" t="s">
        <v>10</v>
      </c>
      <c r="F774" s="17">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s="20">
        <v>67</v>
      </c>
      <c r="E775" s="16" t="s">
        <v>10</v>
      </c>
      <c r="F775" s="17">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s="20">
        <v>119</v>
      </c>
      <c r="E776" s="16" t="s">
        <v>10</v>
      </c>
      <c r="F776" s="17">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s="20">
        <v>61</v>
      </c>
      <c r="E777" s="16" t="s">
        <v>11</v>
      </c>
      <c r="F777" s="17">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s="20">
        <v>29</v>
      </c>
      <c r="E778" s="16" t="s">
        <v>13</v>
      </c>
      <c r="F778" s="17">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s="20">
        <v>134</v>
      </c>
      <c r="E779" s="16" t="s">
        <v>6</v>
      </c>
      <c r="F779" s="17">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s="20">
        <v>113</v>
      </c>
      <c r="E780" s="16" t="s">
        <v>10</v>
      </c>
      <c r="F780" s="17">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s="20">
        <v>12</v>
      </c>
      <c r="E781" s="16" t="s">
        <v>6</v>
      </c>
      <c r="F781" s="17">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s="20">
        <v>78</v>
      </c>
      <c r="E782" s="16" t="s">
        <v>13</v>
      </c>
      <c r="F782" s="17">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s="20">
        <v>82</v>
      </c>
      <c r="E783" s="16" t="s">
        <v>9</v>
      </c>
      <c r="F783" s="17">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s="20">
        <v>149</v>
      </c>
      <c r="E784" s="16" t="s">
        <v>11</v>
      </c>
      <c r="F784" s="17">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s="20">
        <v>56</v>
      </c>
      <c r="E785" s="16" t="s">
        <v>6</v>
      </c>
      <c r="F785" s="17">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s="20">
        <v>80</v>
      </c>
      <c r="E786" s="16" t="s">
        <v>11</v>
      </c>
      <c r="F786" s="17">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s="20">
        <v>131</v>
      </c>
      <c r="E787" s="16" t="s">
        <v>10</v>
      </c>
      <c r="F787" s="17">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s="20">
        <v>109</v>
      </c>
      <c r="E788" s="16" t="s">
        <v>10</v>
      </c>
      <c r="F788" s="17">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s="20">
        <v>142</v>
      </c>
      <c r="E789" s="16" t="s">
        <v>10</v>
      </c>
      <c r="F789" s="17">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s="20">
        <v>114</v>
      </c>
      <c r="E790" s="16" t="s">
        <v>6</v>
      </c>
      <c r="F790" s="17">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s="20">
        <v>93</v>
      </c>
      <c r="E791" s="16" t="s">
        <v>11</v>
      </c>
      <c r="F791" s="17">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s="20">
        <v>43</v>
      </c>
      <c r="E792" s="16" t="s">
        <v>11</v>
      </c>
      <c r="F792" s="17">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s="20">
        <v>78</v>
      </c>
      <c r="E793" s="16" t="s">
        <v>13</v>
      </c>
      <c r="F793" s="17">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s="20">
        <v>89</v>
      </c>
      <c r="E794" s="16" t="s">
        <v>10</v>
      </c>
      <c r="F794" s="17">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s="20">
        <v>82</v>
      </c>
      <c r="E795" s="16" t="s">
        <v>9</v>
      </c>
      <c r="F795" s="17">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s="20">
        <v>86</v>
      </c>
      <c r="E796" s="16" t="s">
        <v>10</v>
      </c>
      <c r="F796" s="17">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s="20">
        <v>57</v>
      </c>
      <c r="E797" s="16" t="s">
        <v>13</v>
      </c>
      <c r="F797" s="17">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s="20">
        <v>103</v>
      </c>
      <c r="E798" s="16" t="s">
        <v>6</v>
      </c>
      <c r="F798" s="17">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s="20">
        <v>138</v>
      </c>
      <c r="E799" s="16" t="s">
        <v>13</v>
      </c>
      <c r="F799" s="17">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s="20">
        <v>88</v>
      </c>
      <c r="E800" s="16" t="s">
        <v>9</v>
      </c>
      <c r="F800" s="17">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s="20">
        <v>118</v>
      </c>
      <c r="E801" s="16" t="s">
        <v>11</v>
      </c>
      <c r="F801" s="17">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s="20">
        <v>4</v>
      </c>
      <c r="E802" s="16" t="s">
        <v>10</v>
      </c>
      <c r="F802" s="17">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s="20">
        <v>78</v>
      </c>
      <c r="E803" s="16" t="s">
        <v>6</v>
      </c>
      <c r="F803" s="17">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s="20">
        <v>69</v>
      </c>
      <c r="E804" s="16" t="s">
        <v>10</v>
      </c>
      <c r="F804" s="17">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s="20">
        <v>90</v>
      </c>
      <c r="E805" s="16" t="s">
        <v>13</v>
      </c>
      <c r="F805" s="17">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s="20">
        <v>134</v>
      </c>
      <c r="E806" s="16" t="s">
        <v>10</v>
      </c>
      <c r="F806" s="17">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s="20">
        <v>65</v>
      </c>
      <c r="E807" s="16" t="s">
        <v>11</v>
      </c>
      <c r="F807" s="17">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s="20">
        <v>54</v>
      </c>
      <c r="E808" s="16" t="s">
        <v>6</v>
      </c>
      <c r="F808" s="17">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s="20">
        <v>90</v>
      </c>
      <c r="E809" s="16" t="s">
        <v>6</v>
      </c>
      <c r="F809" s="17">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s="20">
        <v>66</v>
      </c>
      <c r="E810" s="16" t="s">
        <v>6</v>
      </c>
      <c r="F810" s="17">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s="20">
        <v>150</v>
      </c>
      <c r="E811" s="16" t="s">
        <v>6</v>
      </c>
      <c r="F811" s="17">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s="20">
        <v>18</v>
      </c>
      <c r="E812" s="16" t="s">
        <v>11</v>
      </c>
      <c r="F812" s="17">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s="20">
        <v>87</v>
      </c>
      <c r="E813" s="16" t="s">
        <v>11</v>
      </c>
      <c r="F813" s="17">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s="20">
        <v>94</v>
      </c>
      <c r="E814" s="16" t="s">
        <v>6</v>
      </c>
      <c r="F814" s="17">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s="20">
        <v>56</v>
      </c>
      <c r="E815" s="16" t="s">
        <v>6</v>
      </c>
      <c r="F815" s="17">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s="20">
        <v>41</v>
      </c>
      <c r="E816" s="16" t="s">
        <v>9</v>
      </c>
      <c r="F816" s="17">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s="20">
        <v>119</v>
      </c>
      <c r="E817" s="16" t="s">
        <v>13</v>
      </c>
      <c r="F817" s="17">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s="20">
        <v>108</v>
      </c>
      <c r="E818" s="16" t="s">
        <v>6</v>
      </c>
      <c r="F818" s="17">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s="20">
        <v>63</v>
      </c>
      <c r="E819" s="16" t="s">
        <v>10</v>
      </c>
      <c r="F819" s="17">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s="20">
        <v>59</v>
      </c>
      <c r="E820" s="16" t="s">
        <v>6</v>
      </c>
      <c r="F820" s="17">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s="20">
        <v>90</v>
      </c>
      <c r="E821" s="16" t="s">
        <v>9</v>
      </c>
      <c r="F821" s="17">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s="20">
        <v>55</v>
      </c>
      <c r="E822" s="16" t="s">
        <v>9</v>
      </c>
      <c r="F822" s="17">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s="20">
        <v>84</v>
      </c>
      <c r="E823" s="16" t="s">
        <v>13</v>
      </c>
      <c r="F823" s="17">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s="20">
        <v>150</v>
      </c>
      <c r="E824" s="16" t="s">
        <v>11</v>
      </c>
      <c r="F824" s="17">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s="20">
        <v>69</v>
      </c>
      <c r="E825" s="16" t="s">
        <v>6</v>
      </c>
      <c r="F825" s="17">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s="20">
        <v>120</v>
      </c>
      <c r="E826" s="16" t="s">
        <v>9</v>
      </c>
      <c r="F826" s="17">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s="20">
        <v>126</v>
      </c>
      <c r="E827" s="16" t="s">
        <v>13</v>
      </c>
      <c r="F827" s="17">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s="20">
        <v>120</v>
      </c>
      <c r="E828" s="16" t="s">
        <v>10</v>
      </c>
      <c r="F828" s="17">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s="20">
        <v>139</v>
      </c>
      <c r="E829" s="16" t="s">
        <v>9</v>
      </c>
      <c r="F829" s="17">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s="20">
        <v>124</v>
      </c>
      <c r="E830" s="16" t="s">
        <v>6</v>
      </c>
      <c r="F830" s="17">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s="20">
        <v>108</v>
      </c>
      <c r="E831" s="16" t="s">
        <v>10</v>
      </c>
      <c r="F831" s="17">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s="20">
        <v>132</v>
      </c>
      <c r="E832" s="16" t="s">
        <v>11</v>
      </c>
      <c r="F832" s="17">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s="20">
        <v>67</v>
      </c>
      <c r="E833" s="16" t="s">
        <v>11</v>
      </c>
      <c r="F833" s="17">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s="20">
        <v>125</v>
      </c>
      <c r="E834" s="16" t="s">
        <v>11</v>
      </c>
      <c r="F834" s="17">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s="20">
        <v>23</v>
      </c>
      <c r="E835" s="16" t="s">
        <v>10</v>
      </c>
      <c r="F835" s="17">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s="20">
        <v>131</v>
      </c>
      <c r="E836" s="16" t="s">
        <v>6</v>
      </c>
      <c r="F836" s="17">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s="20">
        <v>56</v>
      </c>
      <c r="E837" s="16" t="s">
        <v>9</v>
      </c>
      <c r="F837" s="17">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s="20">
        <v>70</v>
      </c>
      <c r="E838" s="16" t="s">
        <v>6</v>
      </c>
      <c r="F838" s="17">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s="20">
        <v>55</v>
      </c>
      <c r="E839" s="16" t="s">
        <v>11</v>
      </c>
      <c r="F839" s="17">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s="20">
        <v>77</v>
      </c>
      <c r="E840" s="16" t="s">
        <v>9</v>
      </c>
      <c r="F840" s="17">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s="20">
        <v>133</v>
      </c>
      <c r="E841" s="16" t="s">
        <v>6</v>
      </c>
      <c r="F841" s="17">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s="20">
        <v>77</v>
      </c>
      <c r="E842" s="16" t="s">
        <v>9</v>
      </c>
      <c r="F842" s="17">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s="20">
        <v>103</v>
      </c>
      <c r="E843" s="16" t="s">
        <v>6</v>
      </c>
      <c r="F843" s="17">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s="20">
        <v>32</v>
      </c>
      <c r="E844" s="16" t="s">
        <v>9</v>
      </c>
      <c r="F844" s="17">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s="20">
        <v>30</v>
      </c>
      <c r="E845" s="16" t="s">
        <v>6</v>
      </c>
      <c r="F845" s="17">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s="20">
        <v>87</v>
      </c>
      <c r="E846" s="16" t="s">
        <v>13</v>
      </c>
      <c r="F846" s="17">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s="20">
        <v>137</v>
      </c>
      <c r="E847" s="16" t="s">
        <v>10</v>
      </c>
      <c r="F847" s="17">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s="20">
        <v>96</v>
      </c>
      <c r="E848" s="16" t="s">
        <v>6</v>
      </c>
      <c r="F848" s="17">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s="20">
        <v>155</v>
      </c>
      <c r="E849" s="16" t="s">
        <v>6</v>
      </c>
      <c r="F849" s="17">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s="20">
        <v>173</v>
      </c>
      <c r="E850" s="16" t="s">
        <v>11</v>
      </c>
      <c r="F850" s="17">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s="20">
        <v>127</v>
      </c>
      <c r="E851" s="16" t="s">
        <v>6</v>
      </c>
      <c r="F851" s="17">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s="20">
        <v>117</v>
      </c>
      <c r="E852" s="16" t="s">
        <v>11</v>
      </c>
      <c r="F852" s="17">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s="20">
        <v>133</v>
      </c>
      <c r="E853" s="16" t="s">
        <v>9</v>
      </c>
      <c r="F853" s="17">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s="20">
        <v>166</v>
      </c>
      <c r="E854" s="16" t="s">
        <v>13</v>
      </c>
      <c r="F854" s="17">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s="20">
        <v>50</v>
      </c>
      <c r="E855" s="16" t="s">
        <v>11</v>
      </c>
      <c r="F855" s="17">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s="20">
        <v>43</v>
      </c>
      <c r="E856" s="16" t="s">
        <v>9</v>
      </c>
      <c r="F856" s="17">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s="20">
        <v>124</v>
      </c>
      <c r="E857" s="16" t="s">
        <v>6</v>
      </c>
      <c r="F857" s="17">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s="20">
        <v>94</v>
      </c>
      <c r="E858" s="16" t="s">
        <v>6</v>
      </c>
      <c r="F858" s="17">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s="20">
        <v>126</v>
      </c>
      <c r="E859" s="16" t="s">
        <v>13</v>
      </c>
      <c r="F859" s="17">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s="20">
        <v>105</v>
      </c>
      <c r="E860" s="16" t="s">
        <v>11</v>
      </c>
      <c r="F860" s="17">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s="20">
        <v>60</v>
      </c>
      <c r="E861" s="16" t="s">
        <v>10</v>
      </c>
      <c r="F861" s="17">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s="20">
        <v>72</v>
      </c>
      <c r="E862" s="16" t="s">
        <v>11</v>
      </c>
      <c r="F862" s="17">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s="20">
        <v>40</v>
      </c>
      <c r="E863" s="16" t="s">
        <v>11</v>
      </c>
      <c r="F863" s="17">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s="20">
        <v>54</v>
      </c>
      <c r="E864" s="16" t="s">
        <v>13</v>
      </c>
      <c r="F864" s="17">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s="20">
        <v>81</v>
      </c>
      <c r="E865" s="16" t="s">
        <v>9</v>
      </c>
      <c r="F865" s="17">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s="20">
        <v>76</v>
      </c>
      <c r="E866" s="16" t="s">
        <v>6</v>
      </c>
      <c r="F866" s="17">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s="20">
        <v>37</v>
      </c>
      <c r="E867" s="16" t="s">
        <v>10</v>
      </c>
      <c r="F867" s="17">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s="20">
        <v>96</v>
      </c>
      <c r="E868" s="16" t="s">
        <v>13</v>
      </c>
      <c r="F868" s="17">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s="20">
        <v>19</v>
      </c>
      <c r="E869" s="16" t="s">
        <v>6</v>
      </c>
      <c r="F869" s="17">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s="20">
        <v>72</v>
      </c>
      <c r="E870" s="16" t="s">
        <v>10</v>
      </c>
      <c r="F870" s="17">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s="20">
        <v>73</v>
      </c>
      <c r="E871" s="16" t="s">
        <v>9</v>
      </c>
      <c r="F871" s="17">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s="20">
        <v>87</v>
      </c>
      <c r="E872" s="16" t="s">
        <v>9</v>
      </c>
      <c r="F872" s="17">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s="20">
        <v>68</v>
      </c>
      <c r="E873" s="16" t="s">
        <v>9</v>
      </c>
      <c r="F873" s="17">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s="20">
        <v>101</v>
      </c>
      <c r="E874" s="16" t="s">
        <v>9</v>
      </c>
      <c r="F874" s="17">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s="20">
        <v>107</v>
      </c>
      <c r="E875" s="16" t="s">
        <v>10</v>
      </c>
      <c r="F875" s="17">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s="20">
        <v>109</v>
      </c>
      <c r="E876" s="16" t="s">
        <v>11</v>
      </c>
      <c r="F876" s="17">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s="20">
        <v>171</v>
      </c>
      <c r="E877" s="16" t="s">
        <v>10</v>
      </c>
      <c r="F877" s="17">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s="20">
        <v>21</v>
      </c>
      <c r="E878" s="16" t="s">
        <v>10</v>
      </c>
      <c r="F878" s="17">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s="20">
        <v>94</v>
      </c>
      <c r="E879" s="16" t="s">
        <v>10</v>
      </c>
      <c r="F879" s="17">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s="20">
        <v>97</v>
      </c>
      <c r="E880" s="16" t="s">
        <v>11</v>
      </c>
      <c r="F880" s="17">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s="20">
        <v>72</v>
      </c>
      <c r="E881" s="16" t="s">
        <v>11</v>
      </c>
      <c r="F881" s="17">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s="20">
        <v>143</v>
      </c>
      <c r="E882" s="16" t="s">
        <v>13</v>
      </c>
      <c r="F882" s="17">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s="20">
        <v>64</v>
      </c>
      <c r="E883" s="16" t="s">
        <v>11</v>
      </c>
      <c r="F883" s="17">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s="20">
        <v>69</v>
      </c>
      <c r="E884" s="16" t="s">
        <v>11</v>
      </c>
      <c r="F884" s="17">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s="20">
        <v>18</v>
      </c>
      <c r="E885" s="16" t="s">
        <v>6</v>
      </c>
      <c r="F885" s="17">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s="20">
        <v>100</v>
      </c>
      <c r="E886" s="16" t="s">
        <v>13</v>
      </c>
      <c r="F886" s="17">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s="20">
        <v>110</v>
      </c>
      <c r="E887" s="16" t="s">
        <v>9</v>
      </c>
      <c r="F887" s="17">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s="20">
        <v>41</v>
      </c>
      <c r="E888" s="16" t="s">
        <v>10</v>
      </c>
      <c r="F888" s="17">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s="20">
        <v>147</v>
      </c>
      <c r="E889" s="16" t="s">
        <v>9</v>
      </c>
      <c r="F889" s="17">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s="20">
        <v>31</v>
      </c>
      <c r="E890" s="16" t="s">
        <v>6</v>
      </c>
      <c r="F890" s="17">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s="20">
        <v>142</v>
      </c>
      <c r="E891" s="16" t="s">
        <v>10</v>
      </c>
      <c r="F891" s="17">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s="20">
        <v>61</v>
      </c>
      <c r="E892" s="16" t="s">
        <v>10</v>
      </c>
      <c r="F892" s="17">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s="20">
        <v>86</v>
      </c>
      <c r="E893" s="16" t="s">
        <v>6</v>
      </c>
      <c r="F893" s="17">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s="20">
        <v>165</v>
      </c>
      <c r="E894" s="16" t="s">
        <v>13</v>
      </c>
      <c r="F894" s="17">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s="20">
        <v>62</v>
      </c>
      <c r="E895" s="16" t="s">
        <v>9</v>
      </c>
      <c r="F895" s="17">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s="20">
        <v>103</v>
      </c>
      <c r="E896" s="16" t="s">
        <v>13</v>
      </c>
      <c r="F896" s="17">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s="20">
        <v>56</v>
      </c>
      <c r="E897" s="16" t="s">
        <v>6</v>
      </c>
      <c r="F897" s="17">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s="20">
        <v>114</v>
      </c>
      <c r="E898" s="16" t="s">
        <v>10</v>
      </c>
      <c r="F898" s="17">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s="20">
        <v>112</v>
      </c>
      <c r="E899" s="16" t="s">
        <v>11</v>
      </c>
      <c r="F899" s="17">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s="20">
        <v>52</v>
      </c>
      <c r="E900" s="16" t="s">
        <v>9</v>
      </c>
      <c r="F900" s="17">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s="20">
        <v>105</v>
      </c>
      <c r="E901" s="16" t="s">
        <v>13</v>
      </c>
      <c r="F901" s="17">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s="20">
        <v>91</v>
      </c>
      <c r="E902" s="16" t="s">
        <v>6</v>
      </c>
      <c r="F902" s="17">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s="20">
        <v>74</v>
      </c>
      <c r="E903" s="16" t="s">
        <v>10</v>
      </c>
      <c r="F903" s="17">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s="20">
        <v>30</v>
      </c>
      <c r="E904" s="16" t="s">
        <v>6</v>
      </c>
      <c r="F904" s="17">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s="20">
        <v>56</v>
      </c>
      <c r="E905" s="16" t="s">
        <v>9</v>
      </c>
      <c r="F905" s="17">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s="20">
        <v>151</v>
      </c>
      <c r="E906" s="16" t="s">
        <v>11</v>
      </c>
      <c r="F906" s="17">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s="20">
        <v>108</v>
      </c>
      <c r="E907" s="16" t="s">
        <v>13</v>
      </c>
      <c r="F907" s="17">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s="20">
        <v>124</v>
      </c>
      <c r="E908" s="16" t="s">
        <v>10</v>
      </c>
      <c r="F908" s="17">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s="20">
        <v>110</v>
      </c>
      <c r="E909" s="16" t="s">
        <v>9</v>
      </c>
      <c r="F909" s="17">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s="20">
        <v>89</v>
      </c>
      <c r="E910" s="16" t="s">
        <v>13</v>
      </c>
      <c r="F910" s="17">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s="20">
        <v>95</v>
      </c>
      <c r="E911" s="16" t="s">
        <v>9</v>
      </c>
      <c r="F911" s="17">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s="20">
        <v>84</v>
      </c>
      <c r="E912" s="16" t="s">
        <v>13</v>
      </c>
      <c r="F912" s="17">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s="20">
        <v>89</v>
      </c>
      <c r="E913" s="16" t="s">
        <v>10</v>
      </c>
      <c r="F913" s="17">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s="20">
        <v>146</v>
      </c>
      <c r="E914" s="16" t="s">
        <v>10</v>
      </c>
      <c r="F914" s="17">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s="20">
        <v>62</v>
      </c>
      <c r="E915" s="16" t="s">
        <v>6</v>
      </c>
      <c r="F915" s="17">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s="20">
        <v>82</v>
      </c>
      <c r="E916" s="16" t="s">
        <v>10</v>
      </c>
      <c r="F916" s="17">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s="20">
        <v>91</v>
      </c>
      <c r="E917" s="16" t="s">
        <v>11</v>
      </c>
      <c r="F917" s="17">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s="20">
        <v>39</v>
      </c>
      <c r="E918" s="16" t="s">
        <v>10</v>
      </c>
      <c r="F918" s="17">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s="20">
        <v>149</v>
      </c>
      <c r="E919" s="16" t="s">
        <v>9</v>
      </c>
      <c r="F919" s="17">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s="20">
        <v>138</v>
      </c>
      <c r="E920" s="16" t="s">
        <v>6</v>
      </c>
      <c r="F920" s="17">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s="20">
        <v>113</v>
      </c>
      <c r="E921" s="16" t="s">
        <v>9</v>
      </c>
      <c r="F921" s="17">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s="20">
        <v>88</v>
      </c>
      <c r="E922" s="16" t="s">
        <v>10</v>
      </c>
      <c r="F922" s="17">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s="20">
        <v>64</v>
      </c>
      <c r="E923" s="16" t="s">
        <v>6</v>
      </c>
      <c r="F923" s="17">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s="20">
        <v>53</v>
      </c>
      <c r="E924" s="16" t="s">
        <v>6</v>
      </c>
      <c r="F924" s="17">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s="20">
        <v>63</v>
      </c>
      <c r="E925" s="16" t="s">
        <v>9</v>
      </c>
      <c r="F925" s="17">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s="20">
        <v>54</v>
      </c>
      <c r="E926" s="16" t="s">
        <v>9</v>
      </c>
      <c r="F926" s="17">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s="20">
        <v>54</v>
      </c>
      <c r="E927" s="16" t="s">
        <v>10</v>
      </c>
      <c r="F927" s="17">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s="20">
        <v>71</v>
      </c>
      <c r="E928" s="16" t="s">
        <v>6</v>
      </c>
      <c r="F928" s="17">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s="20">
        <v>93</v>
      </c>
      <c r="E929" s="16" t="s">
        <v>10</v>
      </c>
      <c r="F929" s="17">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s="20">
        <v>96</v>
      </c>
      <c r="E930" s="16" t="s">
        <v>9</v>
      </c>
      <c r="F930" s="17">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s="20">
        <v>31</v>
      </c>
      <c r="E931" s="16" t="s">
        <v>11</v>
      </c>
      <c r="F931" s="17">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s="20">
        <v>107</v>
      </c>
      <c r="E932" s="16" t="s">
        <v>6</v>
      </c>
      <c r="F932" s="17">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s="20">
        <v>50</v>
      </c>
      <c r="E933" s="16" t="s">
        <v>11</v>
      </c>
      <c r="F933" s="17">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s="20">
        <v>69</v>
      </c>
      <c r="E934" s="16" t="s">
        <v>6</v>
      </c>
      <c r="F934" s="17">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s="20">
        <v>26</v>
      </c>
      <c r="E935" s="16" t="s">
        <v>9</v>
      </c>
      <c r="F935" s="17">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s="20">
        <v>158</v>
      </c>
      <c r="E936" s="16" t="s">
        <v>6</v>
      </c>
      <c r="F936" s="17">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s="20">
        <v>99</v>
      </c>
      <c r="E937" s="16" t="s">
        <v>6</v>
      </c>
      <c r="F937" s="17">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s="20">
        <v>78</v>
      </c>
      <c r="E938" s="16" t="s">
        <v>11</v>
      </c>
      <c r="F938" s="17">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s="20">
        <v>102</v>
      </c>
      <c r="E939" s="16" t="s">
        <v>9</v>
      </c>
      <c r="F939" s="17">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s="20">
        <v>158</v>
      </c>
      <c r="E940" s="16" t="s">
        <v>13</v>
      </c>
      <c r="F940" s="17">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s="20">
        <v>56</v>
      </c>
      <c r="E941" s="16" t="s">
        <v>6</v>
      </c>
      <c r="F941" s="17">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s="20">
        <v>17</v>
      </c>
      <c r="E942" s="16" t="s">
        <v>10</v>
      </c>
      <c r="F942" s="17">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s="20">
        <v>104</v>
      </c>
      <c r="E943" s="16" t="s">
        <v>13</v>
      </c>
      <c r="F943" s="17">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s="20">
        <v>96</v>
      </c>
      <c r="E944" s="16" t="s">
        <v>11</v>
      </c>
      <c r="F944" s="17">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s="20">
        <v>83</v>
      </c>
      <c r="E945" s="16" t="s">
        <v>9</v>
      </c>
      <c r="F945" s="17">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s="20">
        <v>80</v>
      </c>
      <c r="E946" s="16" t="s">
        <v>10</v>
      </c>
      <c r="F946" s="17">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s="20">
        <v>152</v>
      </c>
      <c r="E947" s="16" t="s">
        <v>9</v>
      </c>
      <c r="F947" s="17">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s="20">
        <v>34</v>
      </c>
      <c r="E948" s="16" t="s">
        <v>11</v>
      </c>
      <c r="F948" s="17">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s="20">
        <v>2</v>
      </c>
      <c r="E949" s="16" t="s">
        <v>6</v>
      </c>
      <c r="F949" s="17">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s="20">
        <v>140</v>
      </c>
      <c r="E950" s="16" t="s">
        <v>11</v>
      </c>
      <c r="F950" s="17">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s="20">
        <v>126</v>
      </c>
      <c r="E951" s="16" t="s">
        <v>13</v>
      </c>
      <c r="F951" s="17">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s="20">
        <v>79</v>
      </c>
      <c r="E952" s="16" t="s">
        <v>6</v>
      </c>
      <c r="F952" s="17">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s="20">
        <v>133</v>
      </c>
      <c r="E953" s="16" t="s">
        <v>13</v>
      </c>
      <c r="F953" s="17">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s="20">
        <v>97</v>
      </c>
      <c r="E954" s="16" t="s">
        <v>10</v>
      </c>
      <c r="F954" s="17">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s="20">
        <v>102</v>
      </c>
      <c r="E955" s="16" t="s">
        <v>9</v>
      </c>
      <c r="F955" s="17">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s="20">
        <v>62</v>
      </c>
      <c r="E956" s="16" t="s">
        <v>10</v>
      </c>
      <c r="F956" s="17">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s="20">
        <v>149</v>
      </c>
      <c r="E957" s="16" t="s">
        <v>9</v>
      </c>
      <c r="F957" s="17">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s="20">
        <v>133</v>
      </c>
      <c r="E958" s="16" t="s">
        <v>10</v>
      </c>
      <c r="F958" s="17">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s="20">
        <v>51</v>
      </c>
      <c r="E959" s="16" t="s">
        <v>6</v>
      </c>
      <c r="F959" s="17">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s="20">
        <v>110</v>
      </c>
      <c r="E960" s="16" t="s">
        <v>10</v>
      </c>
      <c r="F960" s="17">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s="20">
        <v>38</v>
      </c>
      <c r="E961" s="16" t="s">
        <v>13</v>
      </c>
      <c r="F961" s="17">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s="20">
        <v>78</v>
      </c>
      <c r="E962" s="16" t="s">
        <v>13</v>
      </c>
      <c r="F962" s="17">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s="20">
        <v>25</v>
      </c>
      <c r="E963" s="16" t="s">
        <v>9</v>
      </c>
      <c r="F963" s="17">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s="20">
        <v>50</v>
      </c>
      <c r="E964" s="16" t="s">
        <v>6</v>
      </c>
      <c r="F964" s="17">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s="20">
        <v>103</v>
      </c>
      <c r="E965" s="16" t="s">
        <v>9</v>
      </c>
      <c r="F965" s="17">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s="20">
        <v>63</v>
      </c>
      <c r="E966" s="16" t="s">
        <v>11</v>
      </c>
      <c r="F966" s="17">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s="20">
        <v>96</v>
      </c>
      <c r="E967" s="16" t="s">
        <v>6</v>
      </c>
      <c r="F967" s="17">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s="20">
        <v>94</v>
      </c>
      <c r="E968" s="16" t="s">
        <v>9</v>
      </c>
      <c r="F968" s="17">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s="20">
        <v>46</v>
      </c>
      <c r="E969" s="16" t="s">
        <v>13</v>
      </c>
      <c r="F969" s="17">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s="20">
        <v>127</v>
      </c>
      <c r="E970" s="16" t="s">
        <v>6</v>
      </c>
      <c r="F970" s="17">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s="20">
        <v>96</v>
      </c>
      <c r="E971" s="16" t="s">
        <v>13</v>
      </c>
      <c r="F971" s="17">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1003</v>
      </c>
      <c r="C972" t="s">
        <v>17</v>
      </c>
      <c r="D972" s="20">
        <v>151</v>
      </c>
      <c r="E972" s="16" t="s">
        <v>9</v>
      </c>
      <c r="F972" s="17">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1004</v>
      </c>
      <c r="C973" t="s">
        <v>5</v>
      </c>
      <c r="D973" s="20">
        <v>158</v>
      </c>
      <c r="E973" s="16" t="s">
        <v>10</v>
      </c>
      <c r="F973" s="17">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1005</v>
      </c>
      <c r="C974" t="s">
        <v>23</v>
      </c>
      <c r="D974" s="20">
        <v>45</v>
      </c>
      <c r="E974" s="16" t="s">
        <v>10</v>
      </c>
      <c r="F974" s="17">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1006</v>
      </c>
      <c r="C975" t="s">
        <v>24</v>
      </c>
      <c r="D975" s="20">
        <v>141</v>
      </c>
      <c r="E975" s="16" t="s">
        <v>10</v>
      </c>
      <c r="F975" s="17">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1007</v>
      </c>
      <c r="C976" t="s">
        <v>18</v>
      </c>
      <c r="D976" s="20">
        <v>147</v>
      </c>
      <c r="E976" s="16" t="s">
        <v>13</v>
      </c>
      <c r="F976" s="17">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1008</v>
      </c>
      <c r="C977" t="s">
        <v>19</v>
      </c>
      <c r="D977" s="20">
        <v>126</v>
      </c>
      <c r="E977" s="16" t="s">
        <v>13</v>
      </c>
      <c r="F977" s="17">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1009</v>
      </c>
      <c r="C978" t="s">
        <v>23</v>
      </c>
      <c r="D978" s="20">
        <v>126</v>
      </c>
      <c r="E978" s="16" t="s">
        <v>11</v>
      </c>
      <c r="F978" s="17">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1010</v>
      </c>
      <c r="C979" t="s">
        <v>14</v>
      </c>
      <c r="D979" s="20">
        <v>32</v>
      </c>
      <c r="E979" s="16" t="s">
        <v>13</v>
      </c>
      <c r="F979" s="17">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1011</v>
      </c>
      <c r="C980" t="s">
        <v>23</v>
      </c>
      <c r="D980" s="20">
        <v>84</v>
      </c>
      <c r="E980" s="16" t="s">
        <v>6</v>
      </c>
      <c r="F980" s="17">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1012</v>
      </c>
      <c r="C981" t="s">
        <v>22</v>
      </c>
      <c r="D981" s="20">
        <v>120</v>
      </c>
      <c r="E981" s="16" t="s">
        <v>11</v>
      </c>
      <c r="F981" s="17">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1013</v>
      </c>
      <c r="C982" t="s">
        <v>8</v>
      </c>
      <c r="D982" s="20">
        <v>93</v>
      </c>
      <c r="E982" s="16" t="s">
        <v>13</v>
      </c>
      <c r="F982" s="17">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1014</v>
      </c>
      <c r="C983" t="s">
        <v>15</v>
      </c>
      <c r="D983" s="20">
        <v>76</v>
      </c>
      <c r="E983" s="16" t="s">
        <v>9</v>
      </c>
      <c r="F983" s="17">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1015</v>
      </c>
      <c r="C984" t="s">
        <v>5</v>
      </c>
      <c r="D984" s="20">
        <v>89</v>
      </c>
      <c r="E984" s="16" t="s">
        <v>13</v>
      </c>
      <c r="F984" s="17">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1016</v>
      </c>
      <c r="C985" t="s">
        <v>21</v>
      </c>
      <c r="D985" s="20">
        <v>91</v>
      </c>
      <c r="E985" s="16" t="s">
        <v>6</v>
      </c>
      <c r="F985" s="17">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1017</v>
      </c>
      <c r="C986" t="s">
        <v>7</v>
      </c>
      <c r="D986" s="20">
        <v>7</v>
      </c>
      <c r="E986" s="16" t="s">
        <v>10</v>
      </c>
      <c r="F986" s="17">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1018</v>
      </c>
      <c r="C987" t="s">
        <v>14</v>
      </c>
      <c r="D987" s="20">
        <v>140</v>
      </c>
      <c r="E987" s="16" t="s">
        <v>10</v>
      </c>
      <c r="F987" s="17">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1019</v>
      </c>
      <c r="C988" t="s">
        <v>12</v>
      </c>
      <c r="D988" s="20">
        <v>58</v>
      </c>
      <c r="E988" s="16" t="s">
        <v>11</v>
      </c>
      <c r="F988" s="17">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1020</v>
      </c>
      <c r="C989" t="s">
        <v>20</v>
      </c>
      <c r="D989" s="20">
        <v>90</v>
      </c>
      <c r="E989" s="16" t="s">
        <v>9</v>
      </c>
      <c r="F989" s="17">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1021</v>
      </c>
      <c r="C990" t="s">
        <v>20</v>
      </c>
      <c r="D990" s="20">
        <v>106</v>
      </c>
      <c r="E990" s="16" t="s">
        <v>13</v>
      </c>
      <c r="F990" s="17">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1022</v>
      </c>
      <c r="C991" t="s">
        <v>22</v>
      </c>
      <c r="D991" s="20">
        <v>72</v>
      </c>
      <c r="E991" s="16" t="s">
        <v>10</v>
      </c>
      <c r="F991" s="17">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1023</v>
      </c>
      <c r="C992" t="s">
        <v>7</v>
      </c>
      <c r="D992" s="20">
        <v>124</v>
      </c>
      <c r="E992" s="16" t="s">
        <v>10</v>
      </c>
      <c r="F992" s="17">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1024</v>
      </c>
      <c r="C993" t="s">
        <v>24</v>
      </c>
      <c r="D993" s="20">
        <v>86</v>
      </c>
      <c r="E993" s="16" t="s">
        <v>6</v>
      </c>
      <c r="F993" s="17">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1025</v>
      </c>
      <c r="C994" t="s">
        <v>23</v>
      </c>
      <c r="D994" s="20">
        <v>164</v>
      </c>
      <c r="E994" s="16" t="s">
        <v>6</v>
      </c>
      <c r="F994" s="17">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1026</v>
      </c>
      <c r="C995" t="s">
        <v>8</v>
      </c>
      <c r="D995" s="20">
        <v>40</v>
      </c>
      <c r="E995" s="16" t="s">
        <v>9</v>
      </c>
      <c r="F995" s="17">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1027</v>
      </c>
      <c r="C996" t="s">
        <v>21</v>
      </c>
      <c r="D996" s="20">
        <v>76</v>
      </c>
      <c r="E996" s="16" t="s">
        <v>11</v>
      </c>
      <c r="F996" s="17">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1028</v>
      </c>
      <c r="C997" t="s">
        <v>7</v>
      </c>
      <c r="D997" s="20">
        <v>95</v>
      </c>
      <c r="E997" s="16" t="s">
        <v>13</v>
      </c>
      <c r="F997" s="17">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1029</v>
      </c>
      <c r="C998" t="s">
        <v>21</v>
      </c>
      <c r="D998" s="20">
        <v>113</v>
      </c>
      <c r="E998" s="16" t="s">
        <v>10</v>
      </c>
      <c r="F998" s="17">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1030</v>
      </c>
      <c r="C999" t="s">
        <v>24</v>
      </c>
      <c r="D999" s="20">
        <v>81</v>
      </c>
      <c r="E999" s="16" t="s">
        <v>10</v>
      </c>
      <c r="F999" s="17">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1031</v>
      </c>
      <c r="C1000" t="s">
        <v>15</v>
      </c>
      <c r="D1000" s="20">
        <v>127</v>
      </c>
      <c r="E1000" s="16" t="s">
        <v>13</v>
      </c>
      <c r="F1000" s="17">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1032</v>
      </c>
      <c r="C1001" t="s">
        <v>14</v>
      </c>
      <c r="D1001" s="20">
        <v>146</v>
      </c>
      <c r="E1001" s="16" t="s">
        <v>10</v>
      </c>
      <c r="F1001" s="17">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1033</v>
      </c>
      <c r="C1002" t="s">
        <v>18</v>
      </c>
      <c r="D1002" s="20">
        <v>123</v>
      </c>
      <c r="E1002" s="16" t="s">
        <v>10</v>
      </c>
      <c r="F1002" s="17">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1034</v>
      </c>
      <c r="C1003" t="s">
        <v>22</v>
      </c>
      <c r="D1003" s="20">
        <v>114</v>
      </c>
      <c r="E1003" s="16" t="s">
        <v>11</v>
      </c>
      <c r="F1003" s="17">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B1C0-52F3-4CB8-882E-C98497AA462B}">
  <dimension ref="A1:Z52"/>
  <sheetViews>
    <sheetView topLeftCell="A25" workbookViewId="0">
      <selection activeCell="D35" sqref="D35"/>
    </sheetView>
  </sheetViews>
  <sheetFormatPr defaultRowHeight="14.25"/>
  <sheetData>
    <row r="1" spans="1:26">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ht="30"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c r="A27" s="23"/>
      <c r="B27" s="23"/>
      <c r="C27" s="23"/>
      <c r="D27" s="23"/>
      <c r="E27" s="23"/>
      <c r="F27" s="23"/>
      <c r="G27" s="23"/>
      <c r="H27" s="37"/>
      <c r="I27" s="38" t="str">
        <f>Pivot!B111</f>
        <v>R01</v>
      </c>
      <c r="J27" s="38" t="str">
        <f>Pivot!C111</f>
        <v>R02</v>
      </c>
      <c r="K27" s="38" t="str">
        <f>Pivot!D111</f>
        <v>R03</v>
      </c>
      <c r="L27" s="38" t="str">
        <f>Pivot!E111</f>
        <v>R04</v>
      </c>
      <c r="M27" s="38" t="str">
        <f>Pivot!F111</f>
        <v>R05</v>
      </c>
      <c r="N27" s="39" t="s">
        <v>1074</v>
      </c>
      <c r="O27" s="23"/>
      <c r="P27" s="23"/>
      <c r="Q27" s="23"/>
      <c r="R27" s="23"/>
      <c r="S27" s="23"/>
      <c r="T27" s="23"/>
      <c r="U27" s="23"/>
      <c r="V27" s="23"/>
      <c r="W27" s="23"/>
      <c r="X27" s="23"/>
      <c r="Y27" s="23"/>
      <c r="Z27" s="23"/>
    </row>
    <row r="28" spans="1:26">
      <c r="A28" s="23"/>
      <c r="B28" s="23"/>
      <c r="C28" s="23"/>
      <c r="D28" s="23"/>
      <c r="E28" s="23"/>
      <c r="F28" s="23"/>
      <c r="G28" s="23"/>
      <c r="H28" s="40" t="str">
        <f>Pivot!A112</f>
        <v>Cincinnati</v>
      </c>
      <c r="I28" s="35"/>
      <c r="J28" s="35"/>
      <c r="K28" s="35"/>
      <c r="L28" s="35"/>
      <c r="M28" s="35"/>
      <c r="N28" s="41"/>
      <c r="O28" s="23"/>
      <c r="P28" s="23"/>
      <c r="Q28" s="23"/>
      <c r="R28" s="23"/>
      <c r="S28" s="23"/>
      <c r="T28" s="23"/>
      <c r="U28" s="23"/>
      <c r="V28" s="23"/>
      <c r="W28" s="23"/>
      <c r="X28" s="23"/>
      <c r="Y28" s="23"/>
      <c r="Z28" s="23"/>
    </row>
    <row r="29" spans="1:26">
      <c r="A29" s="23"/>
      <c r="B29" s="23"/>
      <c r="C29" s="23"/>
      <c r="D29" s="23"/>
      <c r="E29" s="23"/>
      <c r="F29" s="23"/>
      <c r="G29" s="23"/>
      <c r="H29" s="40" t="str">
        <f>Pivot!A113</f>
        <v>C0003</v>
      </c>
      <c r="I29" s="36">
        <f>Pivot!B113</f>
        <v>891</v>
      </c>
      <c r="J29" s="36">
        <f>Pivot!C113</f>
        <v>1332</v>
      </c>
      <c r="K29" s="36">
        <f>Pivot!D113</f>
        <v>1282</v>
      </c>
      <c r="L29" s="36">
        <f>Pivot!E113</f>
        <v>739</v>
      </c>
      <c r="M29" s="36">
        <f>Pivot!F113</f>
        <v>560</v>
      </c>
      <c r="N29" s="42">
        <f>Pivot!G113</f>
        <v>4804</v>
      </c>
      <c r="O29" s="23"/>
      <c r="P29" s="23"/>
      <c r="Q29" s="23"/>
      <c r="R29" s="23"/>
      <c r="S29" s="23"/>
      <c r="T29" s="23"/>
      <c r="U29" s="23"/>
      <c r="V29" s="23"/>
      <c r="W29" s="23"/>
      <c r="X29" s="23"/>
      <c r="Y29" s="23"/>
      <c r="Z29" s="23"/>
    </row>
    <row r="30" spans="1:26">
      <c r="A30" s="23"/>
      <c r="B30" s="23"/>
      <c r="C30" s="23"/>
      <c r="D30" s="23"/>
      <c r="E30" s="23"/>
      <c r="F30" s="23"/>
      <c r="G30" s="23"/>
      <c r="H30" s="40" t="str">
        <f>Pivot!A114</f>
        <v>C0004</v>
      </c>
      <c r="I30" s="36">
        <f>Pivot!B114</f>
        <v>1991</v>
      </c>
      <c r="J30" s="36">
        <f>Pivot!C114</f>
        <v>1886</v>
      </c>
      <c r="K30" s="36">
        <f>Pivot!D114</f>
        <v>1206</v>
      </c>
      <c r="L30" s="36">
        <f>Pivot!E114</f>
        <v>884</v>
      </c>
      <c r="M30" s="36">
        <f>Pivot!F114</f>
        <v>1722</v>
      </c>
      <c r="N30" s="42">
        <f>Pivot!G114</f>
        <v>7689</v>
      </c>
      <c r="O30" s="23"/>
      <c r="P30" s="23"/>
      <c r="Q30" s="23"/>
      <c r="R30" s="23"/>
      <c r="S30" s="23"/>
      <c r="T30" s="23"/>
      <c r="U30" s="23"/>
      <c r="V30" s="23"/>
      <c r="W30" s="23"/>
      <c r="X30" s="23"/>
      <c r="Y30" s="23"/>
      <c r="Z30" s="23"/>
    </row>
    <row r="31" spans="1:26">
      <c r="A31" s="23"/>
      <c r="B31" s="23"/>
      <c r="C31" s="23"/>
      <c r="D31" s="23"/>
      <c r="E31" s="23"/>
      <c r="F31" s="23"/>
      <c r="G31" s="23"/>
      <c r="H31" s="40" t="str">
        <f>Pivot!A115</f>
        <v>C0011</v>
      </c>
      <c r="I31" s="36">
        <f>Pivot!B115</f>
        <v>1163</v>
      </c>
      <c r="J31" s="36">
        <f>Pivot!C115</f>
        <v>1180</v>
      </c>
      <c r="K31" s="36">
        <f>Pivot!D115</f>
        <v>1616</v>
      </c>
      <c r="L31" s="36">
        <f>Pivot!E115</f>
        <v>1043</v>
      </c>
      <c r="M31" s="36">
        <f>Pivot!F115</f>
        <v>1747</v>
      </c>
      <c r="N31" s="42">
        <f>Pivot!G115</f>
        <v>6749</v>
      </c>
      <c r="O31" s="23"/>
      <c r="P31" s="23"/>
      <c r="Q31" s="23"/>
      <c r="R31" s="23"/>
      <c r="S31" s="23"/>
      <c r="T31" s="23"/>
      <c r="U31" s="23"/>
      <c r="V31" s="23"/>
      <c r="W31" s="23"/>
      <c r="X31" s="23"/>
      <c r="Y31" s="23"/>
      <c r="Z31" s="23"/>
    </row>
    <row r="32" spans="1:26">
      <c r="A32" s="23"/>
      <c r="B32" s="23"/>
      <c r="C32" s="23"/>
      <c r="D32" s="23"/>
      <c r="E32" s="23"/>
      <c r="F32" s="23"/>
      <c r="G32" s="23"/>
      <c r="H32" s="40" t="str">
        <f>Pivot!A116</f>
        <v>C0012</v>
      </c>
      <c r="I32" s="36">
        <f>Pivot!B116</f>
        <v>1438</v>
      </c>
      <c r="J32" s="36">
        <f>Pivot!C116</f>
        <v>1616</v>
      </c>
      <c r="K32" s="36">
        <f>Pivot!D116</f>
        <v>866</v>
      </c>
      <c r="L32" s="36">
        <f>Pivot!E116</f>
        <v>829</v>
      </c>
      <c r="M32" s="36">
        <f>Pivot!F116</f>
        <v>2070</v>
      </c>
      <c r="N32" s="42">
        <f>Pivot!G116</f>
        <v>6819</v>
      </c>
      <c r="O32" s="23"/>
      <c r="P32" s="23"/>
      <c r="Q32" s="23"/>
      <c r="R32" s="23"/>
      <c r="S32" s="23"/>
      <c r="T32" s="23"/>
      <c r="U32" s="23"/>
      <c r="V32" s="23"/>
      <c r="W32" s="23"/>
      <c r="X32" s="23"/>
      <c r="Y32" s="23"/>
      <c r="Z32" s="23"/>
    </row>
    <row r="33" spans="1:26">
      <c r="A33" s="23"/>
      <c r="B33" s="23"/>
      <c r="C33" s="23"/>
      <c r="D33" s="23"/>
      <c r="E33" s="23"/>
      <c r="F33" s="23"/>
      <c r="G33" s="23"/>
      <c r="H33" s="40" t="str">
        <f>Pivot!A117</f>
        <v>Cleveland</v>
      </c>
      <c r="I33" s="36"/>
      <c r="J33" s="36"/>
      <c r="K33" s="36"/>
      <c r="L33" s="36"/>
      <c r="M33" s="36"/>
      <c r="N33" s="42"/>
      <c r="O33" s="23"/>
      <c r="P33" s="23"/>
      <c r="Q33" s="23"/>
      <c r="R33" s="23"/>
      <c r="S33" s="23"/>
      <c r="T33" s="23"/>
      <c r="U33" s="23"/>
      <c r="V33" s="23"/>
      <c r="W33" s="23"/>
      <c r="X33" s="23"/>
      <c r="Y33" s="23"/>
      <c r="Z33" s="23"/>
    </row>
    <row r="34" spans="1:26">
      <c r="A34" s="23"/>
      <c r="B34" s="23"/>
      <c r="C34" s="23"/>
      <c r="D34" s="23"/>
      <c r="E34" s="23"/>
      <c r="F34" s="23"/>
      <c r="G34" s="23"/>
      <c r="H34" s="40" t="str">
        <f>Pivot!A118</f>
        <v>C0002</v>
      </c>
      <c r="I34" s="36">
        <f>Pivot!B118</f>
        <v>1233</v>
      </c>
      <c r="J34" s="36">
        <f>Pivot!C118</f>
        <v>223</v>
      </c>
      <c r="K34" s="36">
        <f>Pivot!D118</f>
        <v>1680</v>
      </c>
      <c r="L34" s="36">
        <f>Pivot!E118</f>
        <v>990</v>
      </c>
      <c r="M34" s="36">
        <f>Pivot!F118</f>
        <v>1508</v>
      </c>
      <c r="N34" s="42">
        <f>Pivot!G118</f>
        <v>5634</v>
      </c>
      <c r="O34" s="23"/>
      <c r="P34" s="23"/>
      <c r="Q34" s="23"/>
      <c r="R34" s="23"/>
      <c r="S34" s="23"/>
      <c r="T34" s="23"/>
      <c r="U34" s="23"/>
      <c r="V34" s="23"/>
      <c r="W34" s="23"/>
      <c r="X34" s="23"/>
      <c r="Y34" s="23"/>
      <c r="Z34" s="23"/>
    </row>
    <row r="35" spans="1:26">
      <c r="A35" s="23"/>
      <c r="B35" s="23"/>
      <c r="C35" s="23"/>
      <c r="D35" s="23"/>
      <c r="E35" s="23"/>
      <c r="F35" s="23"/>
      <c r="G35" s="23"/>
      <c r="H35" s="40" t="str">
        <f>Pivot!A119</f>
        <v>C0007</v>
      </c>
      <c r="I35" s="36">
        <f>Pivot!B119</f>
        <v>1598</v>
      </c>
      <c r="J35" s="36">
        <f>Pivot!C119</f>
        <v>1907</v>
      </c>
      <c r="K35" s="36">
        <f>Pivot!D119</f>
        <v>869</v>
      </c>
      <c r="L35" s="36">
        <f>Pivot!E119</f>
        <v>1426</v>
      </c>
      <c r="M35" s="36">
        <f>Pivot!F119</f>
        <v>1416</v>
      </c>
      <c r="N35" s="42">
        <f>Pivot!G119</f>
        <v>7216</v>
      </c>
      <c r="O35" s="23"/>
      <c r="P35" s="23"/>
      <c r="Q35" s="23"/>
      <c r="R35" s="23"/>
      <c r="S35" s="23"/>
      <c r="T35" s="23"/>
      <c r="U35" s="23"/>
      <c r="V35" s="23"/>
      <c r="W35" s="23"/>
      <c r="X35" s="23"/>
      <c r="Y35" s="23"/>
      <c r="Z35" s="23"/>
    </row>
    <row r="36" spans="1:26">
      <c r="A36" s="23"/>
      <c r="B36" s="23"/>
      <c r="C36" s="23"/>
      <c r="D36" s="23"/>
      <c r="E36" s="23"/>
      <c r="F36" s="23"/>
      <c r="G36" s="23"/>
      <c r="H36" s="40" t="str">
        <f>Pivot!A120</f>
        <v>C0008</v>
      </c>
      <c r="I36" s="36">
        <f>Pivot!B120</f>
        <v>900</v>
      </c>
      <c r="J36" s="36">
        <f>Pivot!C120</f>
        <v>1016</v>
      </c>
      <c r="K36" s="36">
        <f>Pivot!D120</f>
        <v>960</v>
      </c>
      <c r="L36" s="36">
        <f>Pivot!E120</f>
        <v>940</v>
      </c>
      <c r="M36" s="36">
        <f>Pivot!F120</f>
        <v>1193</v>
      </c>
      <c r="N36" s="42">
        <f>Pivot!G120</f>
        <v>5009</v>
      </c>
      <c r="O36" s="23"/>
      <c r="P36" s="23"/>
      <c r="Q36" s="23"/>
      <c r="R36" s="23"/>
      <c r="S36" s="23"/>
      <c r="T36" s="23"/>
      <c r="U36" s="23"/>
      <c r="V36" s="23"/>
      <c r="W36" s="23"/>
      <c r="X36" s="23"/>
      <c r="Y36" s="23"/>
      <c r="Z36" s="23"/>
    </row>
    <row r="37" spans="1:26">
      <c r="A37" s="23"/>
      <c r="B37" s="23"/>
      <c r="C37" s="23"/>
      <c r="D37" s="23"/>
      <c r="E37" s="23"/>
      <c r="F37" s="23"/>
      <c r="G37" s="23"/>
      <c r="H37" s="40" t="str">
        <f>Pivot!A121</f>
        <v>C0010</v>
      </c>
      <c r="I37" s="36">
        <f>Pivot!B121</f>
        <v>900</v>
      </c>
      <c r="J37" s="36">
        <f>Pivot!C121</f>
        <v>1470</v>
      </c>
      <c r="K37" s="36">
        <f>Pivot!D121</f>
        <v>1617</v>
      </c>
      <c r="L37" s="36">
        <f>Pivot!E121</f>
        <v>1314</v>
      </c>
      <c r="M37" s="36">
        <f>Pivot!F121</f>
        <v>941</v>
      </c>
      <c r="N37" s="42">
        <f>Pivot!G121</f>
        <v>6242</v>
      </c>
      <c r="O37" s="23"/>
      <c r="P37" s="23"/>
      <c r="Q37" s="23"/>
      <c r="R37" s="23"/>
      <c r="S37" s="23"/>
      <c r="T37" s="23"/>
      <c r="U37" s="23"/>
      <c r="V37" s="23"/>
      <c r="W37" s="23"/>
      <c r="X37" s="23"/>
      <c r="Y37" s="23"/>
      <c r="Z37" s="23"/>
    </row>
    <row r="38" spans="1:26">
      <c r="A38" s="23"/>
      <c r="B38" s="23"/>
      <c r="C38" s="23"/>
      <c r="D38" s="23"/>
      <c r="E38" s="23"/>
      <c r="F38" s="23"/>
      <c r="G38" s="23"/>
      <c r="H38" s="40" t="str">
        <f>Pivot!A122</f>
        <v>C0013</v>
      </c>
      <c r="I38" s="36">
        <f>Pivot!B122</f>
        <v>1255</v>
      </c>
      <c r="J38" s="36">
        <f>Pivot!C122</f>
        <v>516</v>
      </c>
      <c r="K38" s="36">
        <f>Pivot!D122</f>
        <v>1874</v>
      </c>
      <c r="L38" s="36">
        <f>Pivot!E122</f>
        <v>1863</v>
      </c>
      <c r="M38" s="36">
        <f>Pivot!F122</f>
        <v>1722</v>
      </c>
      <c r="N38" s="42">
        <f>Pivot!G122</f>
        <v>7230</v>
      </c>
      <c r="O38" s="23"/>
      <c r="P38" s="23"/>
      <c r="Q38" s="23"/>
      <c r="R38" s="23"/>
      <c r="S38" s="23"/>
      <c r="T38" s="23"/>
      <c r="U38" s="23"/>
      <c r="V38" s="23"/>
      <c r="W38" s="23"/>
      <c r="X38" s="23"/>
      <c r="Y38" s="23"/>
      <c r="Z38" s="23"/>
    </row>
    <row r="39" spans="1:26">
      <c r="A39" s="23"/>
      <c r="B39" s="23"/>
      <c r="C39" s="23"/>
      <c r="D39" s="23"/>
      <c r="E39" s="23"/>
      <c r="F39" s="23"/>
      <c r="G39" s="23"/>
      <c r="H39" s="40" t="str">
        <f>Pivot!A123</f>
        <v>C0015</v>
      </c>
      <c r="I39" s="36">
        <f>Pivot!B123</f>
        <v>1138</v>
      </c>
      <c r="J39" s="36">
        <f>Pivot!C123</f>
        <v>1898</v>
      </c>
      <c r="K39" s="36">
        <f>Pivot!D123</f>
        <v>1482</v>
      </c>
      <c r="L39" s="36">
        <f>Pivot!E123</f>
        <v>846</v>
      </c>
      <c r="M39" s="36">
        <f>Pivot!F123</f>
        <v>1154</v>
      </c>
      <c r="N39" s="42">
        <f>Pivot!G123</f>
        <v>6518</v>
      </c>
      <c r="O39" s="23"/>
      <c r="P39" s="23"/>
      <c r="Q39" s="23"/>
      <c r="R39" s="23"/>
      <c r="S39" s="23"/>
      <c r="T39" s="23"/>
      <c r="U39" s="23"/>
      <c r="V39" s="23"/>
      <c r="W39" s="23"/>
      <c r="X39" s="23"/>
      <c r="Y39" s="23"/>
      <c r="Z39" s="23"/>
    </row>
    <row r="40" spans="1:26">
      <c r="A40" s="23"/>
      <c r="B40" s="23"/>
      <c r="C40" s="23"/>
      <c r="D40" s="23"/>
      <c r="E40" s="23"/>
      <c r="F40" s="23"/>
      <c r="G40" s="23"/>
      <c r="H40" s="40" t="str">
        <f>Pivot!A124</f>
        <v>Columbus</v>
      </c>
      <c r="I40" s="36"/>
      <c r="J40" s="36"/>
      <c r="K40" s="36"/>
      <c r="L40" s="36"/>
      <c r="M40" s="36"/>
      <c r="N40" s="42"/>
      <c r="O40" s="23"/>
      <c r="P40" s="23"/>
      <c r="Q40" s="23"/>
      <c r="R40" s="23"/>
      <c r="S40" s="23"/>
      <c r="T40" s="23"/>
      <c r="U40" s="23"/>
      <c r="V40" s="23"/>
      <c r="W40" s="23"/>
      <c r="X40" s="23"/>
      <c r="Y40" s="23"/>
      <c r="Z40" s="23"/>
    </row>
    <row r="41" spans="1:26">
      <c r="A41" s="23"/>
      <c r="B41" s="23"/>
      <c r="C41" s="23"/>
      <c r="D41" s="23"/>
      <c r="E41" s="23"/>
      <c r="F41" s="23"/>
      <c r="G41" s="23"/>
      <c r="H41" s="40" t="str">
        <f>Pivot!A125</f>
        <v>C0001</v>
      </c>
      <c r="I41" s="36">
        <f>Pivot!B125</f>
        <v>1655</v>
      </c>
      <c r="J41" s="36">
        <f>Pivot!C125</f>
        <v>805</v>
      </c>
      <c r="K41" s="36">
        <f>Pivot!D125</f>
        <v>2263</v>
      </c>
      <c r="L41" s="36">
        <f>Pivot!E125</f>
        <v>987</v>
      </c>
      <c r="M41" s="36">
        <f>Pivot!F125</f>
        <v>1075</v>
      </c>
      <c r="N41" s="42">
        <f>Pivot!G125</f>
        <v>6785</v>
      </c>
      <c r="O41" s="23"/>
      <c r="P41" s="23"/>
      <c r="Q41" s="23"/>
      <c r="R41" s="23"/>
      <c r="S41" s="23"/>
      <c r="T41" s="23"/>
      <c r="U41" s="23"/>
      <c r="V41" s="23"/>
      <c r="W41" s="23"/>
      <c r="X41" s="23"/>
      <c r="Y41" s="23"/>
      <c r="Z41" s="23"/>
    </row>
    <row r="42" spans="1:26">
      <c r="A42" s="23"/>
      <c r="B42" s="23"/>
      <c r="C42" s="23"/>
      <c r="D42" s="23"/>
      <c r="E42" s="23"/>
      <c r="F42" s="23"/>
      <c r="G42" s="23"/>
      <c r="H42" s="40" t="str">
        <f>Pivot!A126</f>
        <v>C0005</v>
      </c>
      <c r="I42" s="36">
        <f>Pivot!B126</f>
        <v>1104</v>
      </c>
      <c r="J42" s="36">
        <f>Pivot!C126</f>
        <v>2280</v>
      </c>
      <c r="K42" s="36">
        <f>Pivot!D126</f>
        <v>1445</v>
      </c>
      <c r="L42" s="36">
        <f>Pivot!E126</f>
        <v>1722</v>
      </c>
      <c r="M42" s="36">
        <f>Pivot!F126</f>
        <v>1196</v>
      </c>
      <c r="N42" s="42">
        <f>Pivot!G126</f>
        <v>7747</v>
      </c>
      <c r="O42" s="23"/>
      <c r="P42" s="23"/>
      <c r="Q42" s="23"/>
      <c r="R42" s="23"/>
      <c r="S42" s="23"/>
      <c r="T42" s="23"/>
      <c r="U42" s="23"/>
      <c r="V42" s="23"/>
      <c r="W42" s="23"/>
      <c r="X42" s="23"/>
      <c r="Y42" s="23"/>
      <c r="Z42" s="23"/>
    </row>
    <row r="43" spans="1:26">
      <c r="A43" s="23"/>
      <c r="B43" s="23"/>
      <c r="C43" s="23"/>
      <c r="D43" s="23"/>
      <c r="E43" s="23"/>
      <c r="F43" s="23"/>
      <c r="G43" s="23"/>
      <c r="H43" s="40" t="str">
        <f>Pivot!A127</f>
        <v>C0006</v>
      </c>
      <c r="I43" s="36">
        <f>Pivot!B127</f>
        <v>372</v>
      </c>
      <c r="J43" s="36">
        <f>Pivot!C127</f>
        <v>1818</v>
      </c>
      <c r="K43" s="36">
        <f>Pivot!D127</f>
        <v>1346</v>
      </c>
      <c r="L43" s="36">
        <f>Pivot!E127</f>
        <v>1156</v>
      </c>
      <c r="M43" s="36">
        <f>Pivot!F127</f>
        <v>1484</v>
      </c>
      <c r="N43" s="42">
        <f>Pivot!G127</f>
        <v>6176</v>
      </c>
      <c r="O43" s="23"/>
      <c r="P43" s="23"/>
      <c r="Q43" s="23"/>
      <c r="R43" s="23"/>
      <c r="S43" s="23"/>
      <c r="T43" s="23"/>
      <c r="U43" s="23"/>
      <c r="V43" s="23"/>
      <c r="W43" s="23"/>
      <c r="X43" s="23"/>
      <c r="Y43" s="23"/>
      <c r="Z43" s="23"/>
    </row>
    <row r="44" spans="1:26">
      <c r="A44" s="23"/>
      <c r="B44" s="23"/>
      <c r="C44" s="23"/>
      <c r="D44" s="23"/>
      <c r="E44" s="23"/>
      <c r="F44" s="23"/>
      <c r="G44" s="23"/>
      <c r="H44" s="40" t="str">
        <f>Pivot!A128</f>
        <v>C0009</v>
      </c>
      <c r="I44" s="36">
        <f>Pivot!B128</f>
        <v>1415</v>
      </c>
      <c r="J44" s="36">
        <f>Pivot!C128</f>
        <v>1271</v>
      </c>
      <c r="K44" s="36">
        <f>Pivot!D128</f>
        <v>1214</v>
      </c>
      <c r="L44" s="36">
        <f>Pivot!E128</f>
        <v>1135</v>
      </c>
      <c r="M44" s="36">
        <f>Pivot!F128</f>
        <v>1566</v>
      </c>
      <c r="N44" s="42">
        <f>Pivot!G128</f>
        <v>6601</v>
      </c>
      <c r="O44" s="23"/>
      <c r="P44" s="23"/>
      <c r="Q44" s="23"/>
      <c r="R44" s="23"/>
      <c r="S44" s="23"/>
      <c r="T44" s="23"/>
      <c r="U44" s="23"/>
      <c r="V44" s="23"/>
      <c r="W44" s="23"/>
      <c r="X44" s="23"/>
      <c r="Y44" s="23"/>
      <c r="Z44" s="23"/>
    </row>
    <row r="45" spans="1:26">
      <c r="A45" s="23"/>
      <c r="B45" s="23"/>
      <c r="C45" s="23"/>
      <c r="D45" s="23"/>
      <c r="E45" s="23"/>
      <c r="F45" s="23"/>
      <c r="G45" s="23"/>
      <c r="H45" s="43" t="str">
        <f>Pivot!A129</f>
        <v>C0014</v>
      </c>
      <c r="I45" s="44">
        <f>Pivot!B129</f>
        <v>1362</v>
      </c>
      <c r="J45" s="44">
        <f>Pivot!C129</f>
        <v>1363</v>
      </c>
      <c r="K45" s="44">
        <f>Pivot!D129</f>
        <v>1152</v>
      </c>
      <c r="L45" s="44">
        <f>Pivot!E129</f>
        <v>777</v>
      </c>
      <c r="M45" s="44">
        <f>Pivot!F129</f>
        <v>750</v>
      </c>
      <c r="N45" s="45">
        <f>Pivot!G129</f>
        <v>5404</v>
      </c>
      <c r="O45" s="23"/>
      <c r="P45" s="23"/>
      <c r="Q45" s="23"/>
      <c r="R45" s="23"/>
      <c r="S45" s="23"/>
      <c r="T45" s="23"/>
      <c r="U45" s="23"/>
      <c r="V45" s="23"/>
      <c r="W45" s="23"/>
      <c r="X45" s="23"/>
      <c r="Y45" s="23"/>
      <c r="Z45" s="23"/>
    </row>
    <row r="46" spans="1:2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sheetData>
  <conditionalFormatting sqref="I28:M45">
    <cfRule type="dataBar" priority="2">
      <dataBar>
        <cfvo type="num" val="0"/>
        <cfvo type="formula" val="MAX($I$29:$M$45*2)"/>
        <color theme="8" tint="-0.249977111117893"/>
      </dataBar>
      <extLst>
        <ext xmlns:x14="http://schemas.microsoft.com/office/spreadsheetml/2009/9/main" uri="{B025F937-C7B1-47D3-B67F-A62EFF666E3E}">
          <x14:id>{40469456-6696-4C4E-8717-653A1E912205}</x14:id>
        </ext>
      </extLst>
    </cfRule>
  </conditionalFormatting>
  <pageMargins left="0.7" right="0.7" top="0.75" bottom="0.75" header="0.3" footer="0.3"/>
  <pageSetup paperSize="9" orientation="portrait" horizontalDpi="0" verticalDpi="0" r:id="rId1"/>
  <drawing r:id="rId2"/>
  <extLst>
    <ext xmlns:x14="http://schemas.microsoft.com/office/spreadsheetml/2009/9/main" uri="{78C0D931-6437-407d-A8EE-F0AAD7539E65}">
      <x14:conditionalFormattings>
        <x14:conditionalFormatting xmlns:xm="http://schemas.microsoft.com/office/excel/2006/main">
          <x14:cfRule type="dataBar" id="{40469456-6696-4C4E-8717-653A1E912205}">
            <x14:dataBar minLength="0" maxLength="100" gradient="0">
              <x14:cfvo type="num">
                <xm:f>0</xm:f>
              </x14:cfvo>
              <x14:cfvo type="formula">
                <xm:f>MAX($I$29:$M$45*2)</xm:f>
              </x14:cfvo>
              <x14:negativeFillColor rgb="FFFF0000"/>
              <x14:axisColor rgb="FF000000"/>
            </x14:dataBar>
          </x14:cfRule>
          <xm:sqref>I28:M45</xm:sqref>
        </x14:conditionalFormatting>
        <x14:conditionalFormatting xmlns:xm="http://schemas.microsoft.com/office/excel/2006/main">
          <x14:cfRule type="expression" priority="1" id="{F1D9E788-3839-4CC4-A2E3-BB6C36251BCE}">
            <xm:f>I$27=Pivot!$B$69</xm:f>
            <x14:dxf>
              <fill>
                <patternFill>
                  <bgColor rgb="FFF89B62"/>
                </patternFill>
              </fill>
              <border>
                <vertical/>
                <horizontal/>
              </border>
            </x14:dxf>
          </x14:cfRule>
          <xm:sqref>I27:M45</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115" zoomScaleNormal="115" workbookViewId="0">
      <selection activeCell="E13" sqref="E13"/>
    </sheetView>
  </sheetViews>
  <sheetFormatPr defaultRowHeight="14.25"/>
  <cols>
    <col min="5" max="5" width="10.875" customWidth="1"/>
    <col min="6" max="6" width="9.875" customWidth="1"/>
  </cols>
  <sheetData>
    <row r="3" ht="25.5" customHeight="1"/>
    <row r="4" ht="25.5" customHeight="1"/>
    <row r="5" ht="25.5" customHeight="1"/>
    <row r="6" ht="25.5" customHeight="1"/>
    <row r="7" ht="25.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Sheet1</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Aditya</cp:lastModifiedBy>
  <dcterms:created xsi:type="dcterms:W3CDTF">2021-03-14T20:21:32Z</dcterms:created>
  <dcterms:modified xsi:type="dcterms:W3CDTF">2026-03-14T11:12:07Z</dcterms:modified>
</cp:coreProperties>
</file>